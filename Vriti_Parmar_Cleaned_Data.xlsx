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4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_rels/pivotTable4.xml.rels" ContentType="application/vnd.openxmlformats-package.relationships+xml"/>
  <Override PartName="/xl/pivotTables/_rels/pivotTable3.xml.rels" ContentType="application/vnd.openxmlformats-package.relationships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2.xml" ContentType="application/vnd.openxmlformats-officedocument.spreadsheetml.pivotTable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_rels/pivotCacheDefinition2.xml.rels" ContentType="application/vnd.openxmlformats-package.relationships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Pivot Table_Sheet1_4" sheetId="2" state="visible" r:id="rId3"/>
    <sheet name="Pivot Table_Sheet1_3" sheetId="3" state="visible" r:id="rId4"/>
    <sheet name="Pivot Table_Sheet1_2" sheetId="4" state="visible" r:id="rId5"/>
    <sheet name="Pivot Table_Sheet1_1" sheetId="5" state="visible" r:id="rId6"/>
  </sheets>
  <definedNames>
    <definedName function="false" hidden="true" localSheetId="0" name="_xlnm._FilterDatabase" vbProcedure="false">Sheet1!$A$1:$I$51</definedName>
  </definedNames>
  <calcPr iterateCount="100" refMode="A1" iterate="false" iterateDelta="0.001"/>
  <pivotCaches>
    <pivotCache cacheId="1" r:id="rId8"/>
    <pivotCache cacheId="2" r:id="rId9"/>
  </pivotCaches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<sst xmlns="http://schemas.openxmlformats.org/spreadsheetml/2006/main" count="229" uniqueCount="70">
  <si>
    <t xml:space="preserve">Order ID</t>
  </si>
  <si>
    <t xml:space="preserve">Order Date</t>
  </si>
  <si>
    <t xml:space="preserve">Customer Name</t>
  </si>
  <si>
    <t xml:space="preserve">Region</t>
  </si>
  <si>
    <t xml:space="preserve">Category</t>
  </si>
  <si>
    <t xml:space="preserve">Sales</t>
  </si>
  <si>
    <t xml:space="preserve">Quantity</t>
  </si>
  <si>
    <t xml:space="preserve">Profit</t>
  </si>
  <si>
    <t xml:space="preserve">Discount</t>
  </si>
  <si>
    <t xml:space="preserve">month</t>
  </si>
  <si>
    <t xml:space="preserve">John Smith</t>
  </si>
  <si>
    <t xml:space="preserve">East</t>
  </si>
  <si>
    <t xml:space="preserve">Technology</t>
  </si>
  <si>
    <t xml:space="preserve">Emma Brown</t>
  </si>
  <si>
    <t xml:space="preserve">West</t>
  </si>
  <si>
    <t xml:space="preserve">Furniture</t>
  </si>
  <si>
    <t xml:space="preserve">Liam Johnson</t>
  </si>
  <si>
    <t xml:space="preserve">South</t>
  </si>
  <si>
    <t xml:space="preserve">Office Supplies</t>
  </si>
  <si>
    <t xml:space="preserve">Olivia Davis</t>
  </si>
  <si>
    <t xml:space="preserve">Noah Wilson</t>
  </si>
  <si>
    <t xml:space="preserve">Ava Taylor</t>
  </si>
  <si>
    <t xml:space="preserve">North</t>
  </si>
  <si>
    <t xml:space="preserve">William Moore</t>
  </si>
  <si>
    <t xml:space="preserve">Sophia Martin</t>
  </si>
  <si>
    <t xml:space="preserve">James Lee</t>
  </si>
  <si>
    <t xml:space="preserve">Isabella White</t>
  </si>
  <si>
    <t xml:space="preserve">Lucas Harris</t>
  </si>
  <si>
    <t xml:space="preserve">Mia Clark</t>
  </si>
  <si>
    <t xml:space="preserve">Ethan Lewis</t>
  </si>
  <si>
    <t xml:space="preserve">Amelia Walker</t>
  </si>
  <si>
    <t xml:space="preserve">Daniel Hall</t>
  </si>
  <si>
    <t xml:space="preserve">Harper Allen</t>
  </si>
  <si>
    <t xml:space="preserve">Henry Young</t>
  </si>
  <si>
    <t xml:space="preserve">Evelyn King</t>
  </si>
  <si>
    <t xml:space="preserve">Alexander Scott</t>
  </si>
  <si>
    <t xml:space="preserve">Abigail Green</t>
  </si>
  <si>
    <t xml:space="preserve">Michael Adams</t>
  </si>
  <si>
    <t xml:space="preserve">Emily Baker</t>
  </si>
  <si>
    <t xml:space="preserve">David Nelson</t>
  </si>
  <si>
    <t xml:space="preserve">Grace Carter</t>
  </si>
  <si>
    <t xml:space="preserve">Joseph Mitchell</t>
  </si>
  <si>
    <t xml:space="preserve">Chloe Perez</t>
  </si>
  <si>
    <t xml:space="preserve">Logan Roberts</t>
  </si>
  <si>
    <t xml:space="preserve">Victoria Turner</t>
  </si>
  <si>
    <t xml:space="preserve">Jackson Phillips</t>
  </si>
  <si>
    <t xml:space="preserve">Lily Campbell</t>
  </si>
  <si>
    <t xml:space="preserve">Andrew Parker</t>
  </si>
  <si>
    <t xml:space="preserve">Zoey Evans</t>
  </si>
  <si>
    <t xml:space="preserve">Gabriel Edwards</t>
  </si>
  <si>
    <t xml:space="preserve">Natalie Collins</t>
  </si>
  <si>
    <t xml:space="preserve">Samuel Stewart</t>
  </si>
  <si>
    <t xml:space="preserve">Hannah Sanchez</t>
  </si>
  <si>
    <t xml:space="preserve">Christopher Morris</t>
  </si>
  <si>
    <t xml:space="preserve">Avery Rogers</t>
  </si>
  <si>
    <t xml:space="preserve">Joshua Reed</t>
  </si>
  <si>
    <t xml:space="preserve">Sofia Cook</t>
  </si>
  <si>
    <t xml:space="preserve">David Morgan</t>
  </si>
  <si>
    <t xml:space="preserve">Ella Bell</t>
  </si>
  <si>
    <t xml:space="preserve">Matthew Murphy</t>
  </si>
  <si>
    <t xml:space="preserve">Scarlett Bailey</t>
  </si>
  <si>
    <t xml:space="preserve">Daniel Rivera</t>
  </si>
  <si>
    <t xml:space="preserve">Aria Cooper</t>
  </si>
  <si>
    <t xml:space="preserve">Joseph Richardson</t>
  </si>
  <si>
    <t xml:space="preserve">Madison Cox</t>
  </si>
  <si>
    <t xml:space="preserve">James Howard</t>
  </si>
  <si>
    <t xml:space="preserve">Charlotte Ward</t>
  </si>
  <si>
    <t xml:space="preserve">Sum - Sales</t>
  </si>
  <si>
    <t xml:space="preserve">Total Result</t>
  </si>
  <si>
    <t xml:space="preserve">Sum - Profit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</si>
</sst>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mm/dd/yy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Relationship Id="rId8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50" createdVersion="3">
  <cacheSource type="worksheet">
    <worksheetSource ref="A1:J51" sheet="Sheet1"/>
  </cacheSource>
  <cacheFields count="10">
    <cacheField name="Order ID" numFmtId="0">
      <sharedItems containsSemiMixedTypes="0" containsString="0" containsNumber="1" containsInteger="1" minValue="1001" maxValue="1050" count="50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</sharedItems>
    </cacheField>
    <cacheField name="Order Date" numFmtId="0">
      <sharedItems containsSemiMixedTypes="0" containsNonDate="0" containsDate="1" containsString="0" minDate="2024-01-01T00:00:00" maxDate="2024-02-19T00:00:00" count="50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Customer Name" numFmtId="0">
      <sharedItems count="50">
        <s v="Abigail Green"/>
        <s v="Alexander Scott"/>
        <s v="Amelia Walker"/>
        <s v="Andrew Parker"/>
        <s v="Aria Cooper"/>
        <s v="Ava Taylor"/>
        <s v="Avery Rogers"/>
        <s v="Charlotte Ward"/>
        <s v="Chloe Perez"/>
        <s v="Christopher Morris"/>
        <s v="Daniel Hall"/>
        <s v="Daniel Rivera"/>
        <s v="David Morgan"/>
        <s v="David Nelson"/>
        <s v="Ella Bell"/>
        <s v="Emily Baker"/>
        <s v="Emma Brown"/>
        <s v="Ethan Lewis"/>
        <s v="Evelyn King"/>
        <s v="Gabriel Edwards"/>
        <s v="Grace Carter"/>
        <s v="Hannah Sanchez"/>
        <s v="Harper Allen"/>
        <s v="Henry Young"/>
        <s v="Isabella White"/>
        <s v="Jackson Phillips"/>
        <s v="James Howard"/>
        <s v="James Lee"/>
        <s v="John Smith"/>
        <s v="Joseph Mitchell"/>
        <s v="Joseph Richardson"/>
        <s v="Joshua Reed"/>
        <s v="Liam Johnson"/>
        <s v="Lily Campbell"/>
        <s v="Logan Roberts"/>
        <s v="Lucas Harris"/>
        <s v="Madison Cox"/>
        <s v="Matthew Murphy"/>
        <s v="Mia Clark"/>
        <s v="Michael Adams"/>
        <s v="Natalie Collins"/>
        <s v="Noah Wilson"/>
        <s v="Olivia Davis"/>
        <s v="Samuel Stewart"/>
        <s v="Scarlett Bailey"/>
        <s v="Sofia Cook"/>
        <s v="Sophia Martin"/>
        <s v="Victoria Turner"/>
        <s v="William Moore"/>
        <s v="Zoey Evans"/>
      </sharedItems>
    </cacheField>
    <cacheField name="Region" numFmtId="0">
      <sharedItems count="4">
        <s v="East"/>
        <s v="North"/>
        <s v="South"/>
        <s v="West"/>
      </sharedItems>
    </cacheField>
    <cacheField name="Category" numFmtId="0">
      <sharedItems count="3">
        <s v="Furniture"/>
        <s v="Office Supplies"/>
        <s v="Technology"/>
      </sharedItems>
    </cacheField>
    <cacheField name="Sales" numFmtId="0">
      <sharedItems containsSemiMixedTypes="0" containsString="0" containsNumber="1" containsInteger="1" minValue="120" maxValue="920" count="48">
        <n v="120"/>
        <n v="150"/>
        <n v="160"/>
        <n v="165"/>
        <n v="170"/>
        <n v="175"/>
        <n v="180"/>
        <n v="185"/>
        <n v="190"/>
        <n v="200"/>
        <n v="210"/>
        <n v="215"/>
        <n v="220"/>
        <n v="225"/>
        <n v="230"/>
        <n v="240"/>
        <n v="300"/>
        <n v="350"/>
        <n v="380"/>
        <n v="390"/>
        <n v="395"/>
        <n v="400"/>
        <n v="405"/>
        <n v="410"/>
        <n v="420"/>
        <n v="430"/>
        <n v="440"/>
        <n v="450"/>
        <n v="460"/>
        <n v="470"/>
        <n v="480"/>
        <n v="490"/>
        <n v="500"/>
        <n v="650"/>
        <n v="680"/>
        <n v="690"/>
        <n v="700"/>
        <n v="750"/>
        <n v="760"/>
        <n v="770"/>
        <n v="800"/>
        <n v="820"/>
        <n v="830"/>
        <n v="840"/>
        <n v="880"/>
        <n v="900"/>
        <n v="910"/>
        <n v="920"/>
      </sharedItems>
    </cacheField>
    <cacheField name="Quantity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Profit" numFmtId="0">
      <sharedItems containsSemiMixedTypes="0" containsString="0" containsNumber="1" containsInteger="1" minValue="20" maxValue="310" count="32">
        <n v="20"/>
        <n v="25"/>
        <n v="30"/>
        <n v="35"/>
        <n v="40"/>
        <n v="45"/>
        <n v="50"/>
        <n v="55"/>
        <n v="60"/>
        <n v="70"/>
        <n v="75"/>
        <n v="80"/>
        <n v="85"/>
        <n v="90"/>
        <n v="95"/>
        <n v="100"/>
        <n v="110"/>
        <n v="115"/>
        <n v="120"/>
        <n v="150"/>
        <n v="160"/>
        <n v="170"/>
        <n v="180"/>
        <n v="200"/>
        <n v="210"/>
        <n v="220"/>
        <n v="250"/>
        <n v="260"/>
        <n v="270"/>
        <n v="280"/>
        <n v="300"/>
        <n v="310"/>
      </sharedItems>
    </cacheField>
    <cacheField name="Discount" numFmtId="0">
      <sharedItems containsSemiMixedTypes="0" containsString="0" containsNumber="1" minValue="0" maxValue="0.2" count="6">
        <n v="0"/>
        <n v="0.05"/>
        <n v="0.1"/>
        <n v="0.125"/>
        <n v="0.15"/>
        <n v="0.2"/>
      </sharedItems>
    </cacheField>
    <cacheField name="month" numFmtId="0">
      <sharedItems containsSemiMixedTypes="0" containsString="0" containsNumber="1" containsInteger="1" minValue="1" maxValue="2" count="2">
        <n v="1"/>
        <n v="2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50" createdVersion="3">
  <cacheSource type="worksheet">
    <worksheetSource ref="A1:I51" sheet="Sheet1"/>
  </cacheSource>
  <cacheFields count="9">
    <cacheField name="Order ID" numFmtId="0">
      <sharedItems containsSemiMixedTypes="0" containsString="0" containsNumber="1" containsInteger="1" minValue="1001" maxValue="1050" count="50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</sharedItems>
    </cacheField>
    <cacheField name="Order Date" numFmtId="0">
      <sharedItems containsSemiMixedTypes="0" containsNonDate="0" containsDate="1" containsString="0" minDate="2024-01-01T00:00:00" maxDate="2024-02-19T00:00:00" count="50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Customer Name" numFmtId="0">
      <sharedItems count="50">
        <s v="Abigail Green"/>
        <s v="Alexander Scott"/>
        <s v="Amelia Walker"/>
        <s v="Andrew Parker"/>
        <s v="Aria Cooper"/>
        <s v="Ava Taylor"/>
        <s v="Avery Rogers"/>
        <s v="Charlotte Ward"/>
        <s v="Chloe Perez"/>
        <s v="Christopher Morris"/>
        <s v="Daniel Hall"/>
        <s v="Daniel Rivera"/>
        <s v="David Morgan"/>
        <s v="David Nelson"/>
        <s v="Ella Bell"/>
        <s v="Emily Baker"/>
        <s v="Emma Brown"/>
        <s v="Ethan Lewis"/>
        <s v="Evelyn King"/>
        <s v="Gabriel Edwards"/>
        <s v="Grace Carter"/>
        <s v="Hannah Sanchez"/>
        <s v="Harper Allen"/>
        <s v="Henry Young"/>
        <s v="Isabella White"/>
        <s v="Jackson Phillips"/>
        <s v="James Howard"/>
        <s v="James Lee"/>
        <s v="John Smith"/>
        <s v="Joseph Mitchell"/>
        <s v="Joseph Richardson"/>
        <s v="Joshua Reed"/>
        <s v="Liam Johnson"/>
        <s v="Lily Campbell"/>
        <s v="Logan Roberts"/>
        <s v="Lucas Harris"/>
        <s v="Madison Cox"/>
        <s v="Matthew Murphy"/>
        <s v="Mia Clark"/>
        <s v="Michael Adams"/>
        <s v="Natalie Collins"/>
        <s v="Noah Wilson"/>
        <s v="Olivia Davis"/>
        <s v="Samuel Stewart"/>
        <s v="Scarlett Bailey"/>
        <s v="Sofia Cook"/>
        <s v="Sophia Martin"/>
        <s v="Victoria Turner"/>
        <s v="William Moore"/>
        <s v="Zoey Evans"/>
      </sharedItems>
    </cacheField>
    <cacheField name="Region" numFmtId="0">
      <sharedItems count="4">
        <s v="East"/>
        <s v="North"/>
        <s v="South"/>
        <s v="West"/>
      </sharedItems>
    </cacheField>
    <cacheField name="Category" numFmtId="0">
      <sharedItems count="3">
        <s v="Furniture"/>
        <s v="Office Supplies"/>
        <s v="Technology"/>
      </sharedItems>
    </cacheField>
    <cacheField name="Sales" numFmtId="0">
      <sharedItems containsSemiMixedTypes="0" containsString="0" containsNumber="1" containsInteger="1" minValue="120" maxValue="920" count="48">
        <n v="120"/>
        <n v="150"/>
        <n v="160"/>
        <n v="165"/>
        <n v="170"/>
        <n v="175"/>
        <n v="180"/>
        <n v="185"/>
        <n v="190"/>
        <n v="200"/>
        <n v="210"/>
        <n v="215"/>
        <n v="220"/>
        <n v="225"/>
        <n v="230"/>
        <n v="240"/>
        <n v="300"/>
        <n v="350"/>
        <n v="380"/>
        <n v="390"/>
        <n v="395"/>
        <n v="400"/>
        <n v="405"/>
        <n v="410"/>
        <n v="420"/>
        <n v="430"/>
        <n v="440"/>
        <n v="450"/>
        <n v="460"/>
        <n v="470"/>
        <n v="480"/>
        <n v="490"/>
        <n v="500"/>
        <n v="650"/>
        <n v="680"/>
        <n v="690"/>
        <n v="700"/>
        <n v="750"/>
        <n v="760"/>
        <n v="770"/>
        <n v="800"/>
        <n v="820"/>
        <n v="830"/>
        <n v="840"/>
        <n v="880"/>
        <n v="900"/>
        <n v="910"/>
        <n v="920"/>
      </sharedItems>
    </cacheField>
    <cacheField name="Quantity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Profit" numFmtId="0">
      <sharedItems containsSemiMixedTypes="0" containsString="0" containsNumber="1" containsInteger="1" minValue="20" maxValue="310" count="32">
        <n v="20"/>
        <n v="25"/>
        <n v="30"/>
        <n v="35"/>
        <n v="40"/>
        <n v="45"/>
        <n v="50"/>
        <n v="55"/>
        <n v="60"/>
        <n v="70"/>
        <n v="75"/>
        <n v="80"/>
        <n v="85"/>
        <n v="90"/>
        <n v="95"/>
        <n v="100"/>
        <n v="110"/>
        <n v="115"/>
        <n v="120"/>
        <n v="150"/>
        <n v="160"/>
        <n v="170"/>
        <n v="180"/>
        <n v="200"/>
        <n v="210"/>
        <n v="220"/>
        <n v="250"/>
        <n v="260"/>
        <n v="270"/>
        <n v="280"/>
        <n v="300"/>
        <n v="310"/>
      </sharedItems>
    </cacheField>
    <cacheField name="Discount" numFmtId="0">
      <sharedItems containsSemiMixedTypes="0" containsString="0" containsNumber="1" minValue="0" maxValue="0.2" count="6">
        <n v="0"/>
        <n v="0.05"/>
        <n v="0.1"/>
        <n v="0.125"/>
        <n v="0.15"/>
        <n v="0.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x v="0"/>
    <x v="28"/>
    <x v="0"/>
    <x v="2"/>
    <x v="32"/>
    <x v="1"/>
    <x v="18"/>
    <x v="2"/>
    <x v="0"/>
  </r>
  <r>
    <x v="1"/>
    <x v="1"/>
    <x v="16"/>
    <x v="3"/>
    <x v="0"/>
    <x v="16"/>
    <x v="0"/>
    <x v="6"/>
    <x v="5"/>
    <x v="0"/>
  </r>
  <r>
    <x v="2"/>
    <x v="2"/>
    <x v="32"/>
    <x v="2"/>
    <x v="1"/>
    <x v="1"/>
    <x v="2"/>
    <x v="2"/>
    <x v="3"/>
    <x v="0"/>
  </r>
  <r>
    <x v="3"/>
    <x v="3"/>
    <x v="42"/>
    <x v="0"/>
    <x v="2"/>
    <x v="36"/>
    <x v="3"/>
    <x v="23"/>
    <x v="4"/>
    <x v="0"/>
  </r>
  <r>
    <x v="4"/>
    <x v="4"/>
    <x v="41"/>
    <x v="3"/>
    <x v="0"/>
    <x v="21"/>
    <x v="1"/>
    <x v="17"/>
    <x v="2"/>
    <x v="0"/>
  </r>
  <r>
    <x v="5"/>
    <x v="5"/>
    <x v="5"/>
    <x v="1"/>
    <x v="1"/>
    <x v="0"/>
    <x v="0"/>
    <x v="0"/>
    <x v="0"/>
    <x v="0"/>
  </r>
  <r>
    <x v="6"/>
    <x v="6"/>
    <x v="48"/>
    <x v="2"/>
    <x v="2"/>
    <x v="33"/>
    <x v="2"/>
    <x v="19"/>
    <x v="1"/>
    <x v="0"/>
  </r>
  <r>
    <x v="7"/>
    <x v="7"/>
    <x v="46"/>
    <x v="0"/>
    <x v="0"/>
    <x v="17"/>
    <x v="1"/>
    <x v="8"/>
    <x v="5"/>
    <x v="0"/>
  </r>
  <r>
    <x v="8"/>
    <x v="8"/>
    <x v="27"/>
    <x v="3"/>
    <x v="1"/>
    <x v="9"/>
    <x v="4"/>
    <x v="4"/>
    <x v="0"/>
    <x v="0"/>
  </r>
  <r>
    <x v="9"/>
    <x v="9"/>
    <x v="24"/>
    <x v="1"/>
    <x v="2"/>
    <x v="40"/>
    <x v="1"/>
    <x v="26"/>
    <x v="2"/>
    <x v="0"/>
  </r>
  <r>
    <x v="10"/>
    <x v="10"/>
    <x v="35"/>
    <x v="2"/>
    <x v="0"/>
    <x v="27"/>
    <x v="2"/>
    <x v="13"/>
    <x v="4"/>
    <x v="0"/>
  </r>
  <r>
    <x v="11"/>
    <x v="11"/>
    <x v="38"/>
    <x v="0"/>
    <x v="1"/>
    <x v="6"/>
    <x v="1"/>
    <x v="3"/>
    <x v="0"/>
    <x v="0"/>
  </r>
  <r>
    <x v="12"/>
    <x v="12"/>
    <x v="17"/>
    <x v="3"/>
    <x v="2"/>
    <x v="45"/>
    <x v="4"/>
    <x v="30"/>
    <x v="1"/>
    <x v="0"/>
  </r>
  <r>
    <x v="13"/>
    <x v="13"/>
    <x v="2"/>
    <x v="1"/>
    <x v="0"/>
    <x v="18"/>
    <x v="1"/>
    <x v="9"/>
    <x v="5"/>
    <x v="0"/>
  </r>
  <r>
    <x v="14"/>
    <x v="14"/>
    <x v="10"/>
    <x v="2"/>
    <x v="1"/>
    <x v="12"/>
    <x v="3"/>
    <x v="6"/>
    <x v="3"/>
    <x v="0"/>
  </r>
  <r>
    <x v="15"/>
    <x v="15"/>
    <x v="22"/>
    <x v="0"/>
    <x v="2"/>
    <x v="37"/>
    <x v="2"/>
    <x v="24"/>
    <x v="2"/>
    <x v="0"/>
  </r>
  <r>
    <x v="16"/>
    <x v="16"/>
    <x v="23"/>
    <x v="3"/>
    <x v="0"/>
    <x v="24"/>
    <x v="1"/>
    <x v="12"/>
    <x v="4"/>
    <x v="0"/>
  </r>
  <r>
    <x v="17"/>
    <x v="17"/>
    <x v="18"/>
    <x v="1"/>
    <x v="1"/>
    <x v="2"/>
    <x v="1"/>
    <x v="1"/>
    <x v="0"/>
    <x v="0"/>
  </r>
  <r>
    <x v="18"/>
    <x v="18"/>
    <x v="1"/>
    <x v="2"/>
    <x v="2"/>
    <x v="34"/>
    <x v="3"/>
    <x v="20"/>
    <x v="1"/>
    <x v="0"/>
  </r>
  <r>
    <x v="19"/>
    <x v="19"/>
    <x v="0"/>
    <x v="0"/>
    <x v="0"/>
    <x v="19"/>
    <x v="1"/>
    <x v="10"/>
    <x v="5"/>
    <x v="0"/>
  </r>
  <r>
    <x v="20"/>
    <x v="20"/>
    <x v="39"/>
    <x v="3"/>
    <x v="1"/>
    <x v="10"/>
    <x v="2"/>
    <x v="5"/>
    <x v="0"/>
    <x v="0"/>
  </r>
  <r>
    <x v="21"/>
    <x v="21"/>
    <x v="15"/>
    <x v="1"/>
    <x v="2"/>
    <x v="41"/>
    <x v="2"/>
    <x v="27"/>
    <x v="2"/>
    <x v="0"/>
  </r>
  <r>
    <x v="22"/>
    <x v="22"/>
    <x v="13"/>
    <x v="2"/>
    <x v="0"/>
    <x v="28"/>
    <x v="1"/>
    <x v="14"/>
    <x v="4"/>
    <x v="0"/>
  </r>
  <r>
    <x v="23"/>
    <x v="23"/>
    <x v="20"/>
    <x v="0"/>
    <x v="1"/>
    <x v="4"/>
    <x v="1"/>
    <x v="2"/>
    <x v="0"/>
    <x v="0"/>
  </r>
  <r>
    <x v="24"/>
    <x v="24"/>
    <x v="29"/>
    <x v="3"/>
    <x v="2"/>
    <x v="44"/>
    <x v="3"/>
    <x v="29"/>
    <x v="1"/>
    <x v="0"/>
  </r>
  <r>
    <x v="25"/>
    <x v="25"/>
    <x v="8"/>
    <x v="2"/>
    <x v="0"/>
    <x v="29"/>
    <x v="1"/>
    <x v="15"/>
    <x v="4"/>
    <x v="0"/>
  </r>
  <r>
    <x v="26"/>
    <x v="26"/>
    <x v="34"/>
    <x v="0"/>
    <x v="1"/>
    <x v="8"/>
    <x v="2"/>
    <x v="17"/>
    <x v="0"/>
    <x v="0"/>
  </r>
  <r>
    <x v="27"/>
    <x v="27"/>
    <x v="47"/>
    <x v="3"/>
    <x v="2"/>
    <x v="47"/>
    <x v="4"/>
    <x v="31"/>
    <x v="1"/>
    <x v="0"/>
  </r>
  <r>
    <x v="28"/>
    <x v="28"/>
    <x v="25"/>
    <x v="1"/>
    <x v="0"/>
    <x v="23"/>
    <x v="1"/>
    <x v="11"/>
    <x v="5"/>
    <x v="0"/>
  </r>
  <r>
    <x v="29"/>
    <x v="29"/>
    <x v="33"/>
    <x v="2"/>
    <x v="1"/>
    <x v="14"/>
    <x v="3"/>
    <x v="7"/>
    <x v="0"/>
    <x v="0"/>
  </r>
  <r>
    <x v="30"/>
    <x v="30"/>
    <x v="3"/>
    <x v="0"/>
    <x v="2"/>
    <x v="39"/>
    <x v="2"/>
    <x v="25"/>
    <x v="2"/>
    <x v="0"/>
  </r>
  <r>
    <x v="31"/>
    <x v="31"/>
    <x v="49"/>
    <x v="3"/>
    <x v="0"/>
    <x v="25"/>
    <x v="1"/>
    <x v="13"/>
    <x v="4"/>
    <x v="1"/>
  </r>
  <r>
    <x v="32"/>
    <x v="32"/>
    <x v="19"/>
    <x v="1"/>
    <x v="1"/>
    <x v="5"/>
    <x v="1"/>
    <x v="3"/>
    <x v="0"/>
    <x v="1"/>
  </r>
  <r>
    <x v="33"/>
    <x v="33"/>
    <x v="40"/>
    <x v="2"/>
    <x v="2"/>
    <x v="35"/>
    <x v="3"/>
    <x v="21"/>
    <x v="1"/>
    <x v="1"/>
  </r>
  <r>
    <x v="34"/>
    <x v="34"/>
    <x v="43"/>
    <x v="0"/>
    <x v="0"/>
    <x v="20"/>
    <x v="1"/>
    <x v="10"/>
    <x v="5"/>
    <x v="1"/>
  </r>
  <r>
    <x v="35"/>
    <x v="35"/>
    <x v="21"/>
    <x v="3"/>
    <x v="1"/>
    <x v="11"/>
    <x v="2"/>
    <x v="6"/>
    <x v="3"/>
    <x v="1"/>
  </r>
  <r>
    <x v="36"/>
    <x v="36"/>
    <x v="9"/>
    <x v="1"/>
    <x v="2"/>
    <x v="42"/>
    <x v="2"/>
    <x v="27"/>
    <x v="2"/>
    <x v="1"/>
  </r>
  <r>
    <x v="37"/>
    <x v="37"/>
    <x v="6"/>
    <x v="2"/>
    <x v="0"/>
    <x v="30"/>
    <x v="1"/>
    <x v="15"/>
    <x v="4"/>
    <x v="1"/>
  </r>
  <r>
    <x v="38"/>
    <x v="38"/>
    <x v="31"/>
    <x v="0"/>
    <x v="1"/>
    <x v="7"/>
    <x v="1"/>
    <x v="4"/>
    <x v="0"/>
    <x v="1"/>
  </r>
  <r>
    <x v="39"/>
    <x v="39"/>
    <x v="45"/>
    <x v="3"/>
    <x v="2"/>
    <x v="46"/>
    <x v="3"/>
    <x v="30"/>
    <x v="1"/>
    <x v="1"/>
  </r>
  <r>
    <x v="40"/>
    <x v="40"/>
    <x v="12"/>
    <x v="1"/>
    <x v="0"/>
    <x v="24"/>
    <x v="1"/>
    <x v="12"/>
    <x v="5"/>
    <x v="1"/>
  </r>
  <r>
    <x v="41"/>
    <x v="41"/>
    <x v="14"/>
    <x v="2"/>
    <x v="1"/>
    <x v="15"/>
    <x v="3"/>
    <x v="8"/>
    <x v="0"/>
    <x v="1"/>
  </r>
  <r>
    <x v="42"/>
    <x v="42"/>
    <x v="37"/>
    <x v="0"/>
    <x v="2"/>
    <x v="38"/>
    <x v="2"/>
    <x v="24"/>
    <x v="2"/>
    <x v="1"/>
  </r>
  <r>
    <x v="43"/>
    <x v="43"/>
    <x v="44"/>
    <x v="3"/>
    <x v="0"/>
    <x v="26"/>
    <x v="1"/>
    <x v="14"/>
    <x v="4"/>
    <x v="1"/>
  </r>
  <r>
    <x v="44"/>
    <x v="44"/>
    <x v="11"/>
    <x v="1"/>
    <x v="1"/>
    <x v="3"/>
    <x v="1"/>
    <x v="2"/>
    <x v="3"/>
    <x v="1"/>
  </r>
  <r>
    <x v="45"/>
    <x v="45"/>
    <x v="4"/>
    <x v="2"/>
    <x v="2"/>
    <x v="36"/>
    <x v="3"/>
    <x v="22"/>
    <x v="1"/>
    <x v="1"/>
  </r>
  <r>
    <x v="46"/>
    <x v="46"/>
    <x v="30"/>
    <x v="0"/>
    <x v="0"/>
    <x v="22"/>
    <x v="1"/>
    <x v="11"/>
    <x v="5"/>
    <x v="1"/>
  </r>
  <r>
    <x v="47"/>
    <x v="47"/>
    <x v="36"/>
    <x v="3"/>
    <x v="1"/>
    <x v="13"/>
    <x v="2"/>
    <x v="7"/>
    <x v="0"/>
    <x v="1"/>
  </r>
  <r>
    <x v="48"/>
    <x v="48"/>
    <x v="26"/>
    <x v="1"/>
    <x v="2"/>
    <x v="43"/>
    <x v="2"/>
    <x v="28"/>
    <x v="2"/>
    <x v="1"/>
  </r>
  <r>
    <x v="49"/>
    <x v="49"/>
    <x v="7"/>
    <x v="2"/>
    <x v="0"/>
    <x v="31"/>
    <x v="1"/>
    <x v="16"/>
    <x v="4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">
  <r>
    <x v="0"/>
    <x v="0"/>
    <x v="28"/>
    <x v="0"/>
    <x v="2"/>
    <x v="32"/>
    <x v="1"/>
    <x v="18"/>
    <x v="2"/>
  </r>
  <r>
    <x v="1"/>
    <x v="1"/>
    <x v="16"/>
    <x v="3"/>
    <x v="0"/>
    <x v="16"/>
    <x v="0"/>
    <x v="6"/>
    <x v="5"/>
  </r>
  <r>
    <x v="2"/>
    <x v="2"/>
    <x v="32"/>
    <x v="2"/>
    <x v="1"/>
    <x v="1"/>
    <x v="2"/>
    <x v="2"/>
    <x v="3"/>
  </r>
  <r>
    <x v="3"/>
    <x v="3"/>
    <x v="42"/>
    <x v="0"/>
    <x v="2"/>
    <x v="36"/>
    <x v="3"/>
    <x v="23"/>
    <x v="4"/>
  </r>
  <r>
    <x v="4"/>
    <x v="4"/>
    <x v="41"/>
    <x v="3"/>
    <x v="0"/>
    <x v="21"/>
    <x v="1"/>
    <x v="17"/>
    <x v="2"/>
  </r>
  <r>
    <x v="5"/>
    <x v="5"/>
    <x v="5"/>
    <x v="1"/>
    <x v="1"/>
    <x v="0"/>
    <x v="0"/>
    <x v="0"/>
    <x v="0"/>
  </r>
  <r>
    <x v="6"/>
    <x v="6"/>
    <x v="48"/>
    <x v="2"/>
    <x v="2"/>
    <x v="33"/>
    <x v="2"/>
    <x v="19"/>
    <x v="1"/>
  </r>
  <r>
    <x v="7"/>
    <x v="7"/>
    <x v="46"/>
    <x v="0"/>
    <x v="0"/>
    <x v="17"/>
    <x v="1"/>
    <x v="8"/>
    <x v="5"/>
  </r>
  <r>
    <x v="8"/>
    <x v="8"/>
    <x v="27"/>
    <x v="3"/>
    <x v="1"/>
    <x v="9"/>
    <x v="4"/>
    <x v="4"/>
    <x v="0"/>
  </r>
  <r>
    <x v="9"/>
    <x v="9"/>
    <x v="24"/>
    <x v="1"/>
    <x v="2"/>
    <x v="40"/>
    <x v="1"/>
    <x v="26"/>
    <x v="2"/>
  </r>
  <r>
    <x v="10"/>
    <x v="10"/>
    <x v="35"/>
    <x v="2"/>
    <x v="0"/>
    <x v="27"/>
    <x v="2"/>
    <x v="13"/>
    <x v="4"/>
  </r>
  <r>
    <x v="11"/>
    <x v="11"/>
    <x v="38"/>
    <x v="0"/>
    <x v="1"/>
    <x v="6"/>
    <x v="1"/>
    <x v="3"/>
    <x v="0"/>
  </r>
  <r>
    <x v="12"/>
    <x v="12"/>
    <x v="17"/>
    <x v="3"/>
    <x v="2"/>
    <x v="45"/>
    <x v="4"/>
    <x v="30"/>
    <x v="1"/>
  </r>
  <r>
    <x v="13"/>
    <x v="13"/>
    <x v="2"/>
    <x v="1"/>
    <x v="0"/>
    <x v="18"/>
    <x v="1"/>
    <x v="9"/>
    <x v="5"/>
  </r>
  <r>
    <x v="14"/>
    <x v="14"/>
    <x v="10"/>
    <x v="2"/>
    <x v="1"/>
    <x v="12"/>
    <x v="3"/>
    <x v="6"/>
    <x v="3"/>
  </r>
  <r>
    <x v="15"/>
    <x v="15"/>
    <x v="22"/>
    <x v="0"/>
    <x v="2"/>
    <x v="37"/>
    <x v="2"/>
    <x v="24"/>
    <x v="2"/>
  </r>
  <r>
    <x v="16"/>
    <x v="16"/>
    <x v="23"/>
    <x v="3"/>
    <x v="0"/>
    <x v="24"/>
    <x v="1"/>
    <x v="12"/>
    <x v="4"/>
  </r>
  <r>
    <x v="17"/>
    <x v="17"/>
    <x v="18"/>
    <x v="1"/>
    <x v="1"/>
    <x v="2"/>
    <x v="1"/>
    <x v="1"/>
    <x v="0"/>
  </r>
  <r>
    <x v="18"/>
    <x v="18"/>
    <x v="1"/>
    <x v="2"/>
    <x v="2"/>
    <x v="34"/>
    <x v="3"/>
    <x v="20"/>
    <x v="1"/>
  </r>
  <r>
    <x v="19"/>
    <x v="19"/>
    <x v="0"/>
    <x v="0"/>
    <x v="0"/>
    <x v="19"/>
    <x v="1"/>
    <x v="10"/>
    <x v="5"/>
  </r>
  <r>
    <x v="20"/>
    <x v="20"/>
    <x v="39"/>
    <x v="3"/>
    <x v="1"/>
    <x v="10"/>
    <x v="2"/>
    <x v="5"/>
    <x v="0"/>
  </r>
  <r>
    <x v="21"/>
    <x v="21"/>
    <x v="15"/>
    <x v="1"/>
    <x v="2"/>
    <x v="41"/>
    <x v="2"/>
    <x v="27"/>
    <x v="2"/>
  </r>
  <r>
    <x v="22"/>
    <x v="22"/>
    <x v="13"/>
    <x v="2"/>
    <x v="0"/>
    <x v="28"/>
    <x v="1"/>
    <x v="14"/>
    <x v="4"/>
  </r>
  <r>
    <x v="23"/>
    <x v="23"/>
    <x v="20"/>
    <x v="0"/>
    <x v="1"/>
    <x v="4"/>
    <x v="1"/>
    <x v="2"/>
    <x v="0"/>
  </r>
  <r>
    <x v="24"/>
    <x v="24"/>
    <x v="29"/>
    <x v="3"/>
    <x v="2"/>
    <x v="44"/>
    <x v="3"/>
    <x v="29"/>
    <x v="1"/>
  </r>
  <r>
    <x v="25"/>
    <x v="25"/>
    <x v="8"/>
    <x v="2"/>
    <x v="0"/>
    <x v="29"/>
    <x v="1"/>
    <x v="15"/>
    <x v="4"/>
  </r>
  <r>
    <x v="26"/>
    <x v="26"/>
    <x v="34"/>
    <x v="0"/>
    <x v="1"/>
    <x v="8"/>
    <x v="2"/>
    <x v="17"/>
    <x v="0"/>
  </r>
  <r>
    <x v="27"/>
    <x v="27"/>
    <x v="47"/>
    <x v="3"/>
    <x v="2"/>
    <x v="47"/>
    <x v="4"/>
    <x v="31"/>
    <x v="1"/>
  </r>
  <r>
    <x v="28"/>
    <x v="28"/>
    <x v="25"/>
    <x v="1"/>
    <x v="0"/>
    <x v="23"/>
    <x v="1"/>
    <x v="11"/>
    <x v="5"/>
  </r>
  <r>
    <x v="29"/>
    <x v="29"/>
    <x v="33"/>
    <x v="2"/>
    <x v="1"/>
    <x v="14"/>
    <x v="3"/>
    <x v="7"/>
    <x v="0"/>
  </r>
  <r>
    <x v="30"/>
    <x v="30"/>
    <x v="3"/>
    <x v="0"/>
    <x v="2"/>
    <x v="39"/>
    <x v="2"/>
    <x v="25"/>
    <x v="2"/>
  </r>
  <r>
    <x v="31"/>
    <x v="31"/>
    <x v="49"/>
    <x v="3"/>
    <x v="0"/>
    <x v="25"/>
    <x v="1"/>
    <x v="13"/>
    <x v="4"/>
  </r>
  <r>
    <x v="32"/>
    <x v="32"/>
    <x v="19"/>
    <x v="1"/>
    <x v="1"/>
    <x v="5"/>
    <x v="1"/>
    <x v="3"/>
    <x v="0"/>
  </r>
  <r>
    <x v="33"/>
    <x v="33"/>
    <x v="40"/>
    <x v="2"/>
    <x v="2"/>
    <x v="35"/>
    <x v="3"/>
    <x v="21"/>
    <x v="1"/>
  </r>
  <r>
    <x v="34"/>
    <x v="34"/>
    <x v="43"/>
    <x v="0"/>
    <x v="0"/>
    <x v="20"/>
    <x v="1"/>
    <x v="10"/>
    <x v="5"/>
  </r>
  <r>
    <x v="35"/>
    <x v="35"/>
    <x v="21"/>
    <x v="3"/>
    <x v="1"/>
    <x v="11"/>
    <x v="2"/>
    <x v="6"/>
    <x v="3"/>
  </r>
  <r>
    <x v="36"/>
    <x v="36"/>
    <x v="9"/>
    <x v="1"/>
    <x v="2"/>
    <x v="42"/>
    <x v="2"/>
    <x v="27"/>
    <x v="2"/>
  </r>
  <r>
    <x v="37"/>
    <x v="37"/>
    <x v="6"/>
    <x v="2"/>
    <x v="0"/>
    <x v="30"/>
    <x v="1"/>
    <x v="15"/>
    <x v="4"/>
  </r>
  <r>
    <x v="38"/>
    <x v="38"/>
    <x v="31"/>
    <x v="0"/>
    <x v="1"/>
    <x v="7"/>
    <x v="1"/>
    <x v="4"/>
    <x v="0"/>
  </r>
  <r>
    <x v="39"/>
    <x v="39"/>
    <x v="45"/>
    <x v="3"/>
    <x v="2"/>
    <x v="46"/>
    <x v="3"/>
    <x v="30"/>
    <x v="1"/>
  </r>
  <r>
    <x v="40"/>
    <x v="40"/>
    <x v="12"/>
    <x v="1"/>
    <x v="0"/>
    <x v="24"/>
    <x v="1"/>
    <x v="12"/>
    <x v="5"/>
  </r>
  <r>
    <x v="41"/>
    <x v="41"/>
    <x v="14"/>
    <x v="2"/>
    <x v="1"/>
    <x v="15"/>
    <x v="3"/>
    <x v="8"/>
    <x v="0"/>
  </r>
  <r>
    <x v="42"/>
    <x v="42"/>
    <x v="37"/>
    <x v="0"/>
    <x v="2"/>
    <x v="38"/>
    <x v="2"/>
    <x v="24"/>
    <x v="2"/>
  </r>
  <r>
    <x v="43"/>
    <x v="43"/>
    <x v="44"/>
    <x v="3"/>
    <x v="0"/>
    <x v="26"/>
    <x v="1"/>
    <x v="14"/>
    <x v="4"/>
  </r>
  <r>
    <x v="44"/>
    <x v="44"/>
    <x v="11"/>
    <x v="1"/>
    <x v="1"/>
    <x v="3"/>
    <x v="1"/>
    <x v="2"/>
    <x v="3"/>
  </r>
  <r>
    <x v="45"/>
    <x v="45"/>
    <x v="4"/>
    <x v="2"/>
    <x v="2"/>
    <x v="36"/>
    <x v="3"/>
    <x v="22"/>
    <x v="1"/>
  </r>
  <r>
    <x v="46"/>
    <x v="46"/>
    <x v="30"/>
    <x v="0"/>
    <x v="0"/>
    <x v="22"/>
    <x v="1"/>
    <x v="11"/>
    <x v="5"/>
  </r>
  <r>
    <x v="47"/>
    <x v="47"/>
    <x v="36"/>
    <x v="3"/>
    <x v="1"/>
    <x v="13"/>
    <x v="2"/>
    <x v="7"/>
    <x v="0"/>
  </r>
  <r>
    <x v="48"/>
    <x v="48"/>
    <x v="26"/>
    <x v="1"/>
    <x v="2"/>
    <x v="43"/>
    <x v="2"/>
    <x v="28"/>
    <x v="2"/>
  </r>
  <r>
    <x v="49"/>
    <x v="49"/>
    <x v="7"/>
    <x v="2"/>
    <x v="0"/>
    <x v="31"/>
    <x v="1"/>
    <x v="16"/>
    <x v="4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2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B6" firstHeaderRow="1" firstDataRow="1" firstDataCol="1"/>
  <pivotFields count="9">
    <pivotField compact="0" showAll="0"/>
    <pivotField compact="0" showAll="0"/>
    <pivotField compact="0" showAll="0"/>
    <pivotField axis="axisRow" compact="0" showAll="0" defaultSubtotal="0" outline="0">
      <items count="4">
        <item x="0"/>
        <item x="1"/>
        <item x="2"/>
        <item x="3"/>
      </items>
    </pivotField>
    <pivotField compact="0" showAll="0"/>
    <pivotField dataField="1" compact="0" showAll="0" outline="0"/>
    <pivotField compact="0" showAll="0"/>
    <pivotField compact="0" showAll="0"/>
    <pivotField compact="0" showAll="0"/>
  </pivotFields>
  <rowFields count="1">
    <field x="3"/>
  </rowFields>
  <dataFields count="1">
    <dataField name="Sum - Sales" fld="5" subtotal="sum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2" cacheId="2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B5" firstHeaderRow="1" firstDataRow="1" firstDataCol="1"/>
  <pivotFields count="9">
    <pivotField compact="0" showAll="0"/>
    <pivotField compact="0" showAll="0"/>
    <pivotField compact="0" showAll="0"/>
    <pivotField compact="0" showAll="0"/>
    <pivotField axis="axisRow" compact="0" showAll="0" defaultSubtotal="0" outline="0">
      <items count="3">
        <item x="0"/>
        <item x="1"/>
        <item x="2"/>
      </items>
    </pivotField>
    <pivotField compact="0" showAll="0"/>
    <pivotField compact="0" showAll="0"/>
    <pivotField dataField="1" compact="0" showAll="0" outline="0"/>
    <pivotField compact="0" showAll="0"/>
  </pivotFields>
  <rowFields count="1">
    <field x="4"/>
  </rowFields>
  <dataFields count="1">
    <dataField name="Sum - Profit" fld="7" subtotal="sum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ataPilot3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B4" firstHeaderRow="1" firstDataRow="1" firstDataCol="1"/>
  <pivotFields count="10">
    <pivotField compact="0" showAll="0"/>
    <pivotField compact="0" showAll="0"/>
    <pivotField compact="0" showAll="0"/>
    <pivotField compact="0" showAll="0"/>
    <pivotField compact="0" showAll="0"/>
    <pivotField dataField="1" compact="0" showAll="0" outline="0"/>
    <pivotField compact="0" showAll="0"/>
    <pivotField compact="0" showAll="0"/>
    <pivotField compact="0" showAll="0"/>
    <pivotField axis="axisRow" compact="0" showAll="0" defaultSubtotal="0" outline="0">
      <items count="2">
        <item x="0"/>
        <item x="1"/>
      </items>
    </pivotField>
  </pivotFields>
  <rowFields count="1">
    <field x="9"/>
  </rowFields>
  <dataFields count="1">
    <dataField name="Sum - Sales" fld="5" subtotal="sum" numFmtId="164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DataPilot4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B52" firstHeaderRow="1" firstDataRow="1" firstDataCol="1"/>
  <pivotFields count="10">
    <pivotField compact="0" showAll="0"/>
    <pivotField compact="0" showAll="0"/>
    <pivotField axis="axisRow" compact="0" showAll="0" defaultSubtotal="0" outline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</pivotField>
    <pivotField compact="0" showAll="0"/>
    <pivotField compact="0" showAll="0"/>
    <pivotField dataField="1" compact="0" showAll="0" outline="0"/>
    <pivotField compact="0" showAll="0"/>
    <pivotField compact="0" showAll="0"/>
    <pivotField compact="0" showAll="0"/>
    <pivotField compact="0" showAll="0"/>
  </pivotFields>
  <rowFields count="1">
    <field x="2"/>
  </rowFields>
  <dataFields count="1">
    <dataField name="Sum - Sales" fld="5" subtotal="sum" numFmtId="164"/>
  </dataFields>
  <pivotTableStyleInfo name="PivotStyleLight16" showRowHeaders="1" showColHeaders="1" showRowStripes="0" showColStripes="0" showLastColumn="1"/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J51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F1" activeCellId="0" sqref="F1"/>
    </sheetView>
  </sheetViews>
  <sheetFormatPr defaultColWidth="11.53515625" defaultRowHeight="12.8" zeroHeight="false" outlineLevelRow="0" outlineLevelCol="0"/>
  <cols>
    <col collapsed="false" customWidth="false" hidden="false" outlineLevel="0" max="2" min="2" style="1" width="11.52"/>
    <col collapsed="false" customWidth="true" hidden="false" outlineLevel="0" max="3" min="3" style="0" width="20.29"/>
    <col collapsed="false" customWidth="true" hidden="false" outlineLevel="0" max="5" min="5" style="0" width="17.32"/>
  </cols>
  <sheetData>
    <row r="1" customFormat="false" ht="12.8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0" t="s">
        <v>9</v>
      </c>
    </row>
    <row r="2" customFormat="false" ht="12.8" hidden="false" customHeight="false" outlineLevel="0" collapsed="false">
      <c r="A2" s="2" t="n">
        <v>1001</v>
      </c>
      <c r="B2" s="5" t="n">
        <v>45292</v>
      </c>
      <c r="C2" s="4" t="s">
        <v>10</v>
      </c>
      <c r="D2" s="4" t="s">
        <v>11</v>
      </c>
      <c r="E2" s="4" t="s">
        <v>12</v>
      </c>
      <c r="F2" s="4" t="n">
        <v>500</v>
      </c>
      <c r="G2" s="4" t="n">
        <v>2</v>
      </c>
      <c r="H2" s="4" t="n">
        <v>120</v>
      </c>
      <c r="I2" s="4" t="n">
        <v>0.1</v>
      </c>
      <c r="J2" s="0" t="n">
        <f aca="false">MONTH(B2)</f>
        <v>1</v>
      </c>
    </row>
    <row r="3" customFormat="false" ht="12.8" hidden="false" customHeight="false" outlineLevel="0" collapsed="false">
      <c r="A3" s="2" t="n">
        <v>1002</v>
      </c>
      <c r="B3" s="5" t="n">
        <v>45293</v>
      </c>
      <c r="C3" s="4" t="s">
        <v>13</v>
      </c>
      <c r="D3" s="4" t="s">
        <v>14</v>
      </c>
      <c r="E3" s="4" t="s">
        <v>15</v>
      </c>
      <c r="F3" s="4" t="n">
        <v>300</v>
      </c>
      <c r="G3" s="4" t="n">
        <v>1</v>
      </c>
      <c r="H3" s="4" t="n">
        <v>50</v>
      </c>
      <c r="I3" s="4" t="n">
        <v>0.2</v>
      </c>
      <c r="J3" s="0" t="n">
        <f aca="false">MONTH(B3)</f>
        <v>1</v>
      </c>
    </row>
    <row r="4" customFormat="false" ht="12.8" hidden="false" customHeight="false" outlineLevel="0" collapsed="false">
      <c r="A4" s="2" t="n">
        <v>1003</v>
      </c>
      <c r="B4" s="5" t="n">
        <v>45294</v>
      </c>
      <c r="C4" s="4" t="s">
        <v>16</v>
      </c>
      <c r="D4" s="4" t="s">
        <v>17</v>
      </c>
      <c r="E4" s="4" t="s">
        <v>18</v>
      </c>
      <c r="F4" s="4" t="n">
        <v>150</v>
      </c>
      <c r="G4" s="4" t="n">
        <v>3</v>
      </c>
      <c r="H4" s="4" t="n">
        <v>30</v>
      </c>
      <c r="I4" s="4" t="n">
        <f aca="false">AVERAGE(I2,I51)</f>
        <v>0.125</v>
      </c>
      <c r="J4" s="0" t="n">
        <f aca="false">MONTH(B4)</f>
        <v>1</v>
      </c>
    </row>
    <row r="5" customFormat="false" ht="12.8" hidden="false" customHeight="false" outlineLevel="0" collapsed="false">
      <c r="A5" s="2" t="n">
        <v>1004</v>
      </c>
      <c r="B5" s="5" t="n">
        <v>45295</v>
      </c>
      <c r="C5" s="4" t="s">
        <v>19</v>
      </c>
      <c r="D5" s="4" t="s">
        <v>11</v>
      </c>
      <c r="E5" s="4" t="s">
        <v>12</v>
      </c>
      <c r="F5" s="4" t="n">
        <v>700</v>
      </c>
      <c r="G5" s="4" t="n">
        <v>4</v>
      </c>
      <c r="H5" s="4" t="n">
        <v>200</v>
      </c>
      <c r="I5" s="4" t="n">
        <v>0.15</v>
      </c>
      <c r="J5" s="0" t="n">
        <f aca="false">MONTH(B5)</f>
        <v>1</v>
      </c>
    </row>
    <row r="6" customFormat="false" ht="12.8" hidden="false" customHeight="false" outlineLevel="0" collapsed="false">
      <c r="A6" s="2" t="n">
        <v>1005</v>
      </c>
      <c r="B6" s="5" t="n">
        <v>45296</v>
      </c>
      <c r="C6" s="4" t="s">
        <v>20</v>
      </c>
      <c r="D6" s="4" t="s">
        <v>14</v>
      </c>
      <c r="E6" s="4" t="s">
        <v>15</v>
      </c>
      <c r="F6" s="4" t="n">
        <v>400</v>
      </c>
      <c r="G6" s="4" t="n">
        <v>2</v>
      </c>
      <c r="H6" s="4" t="n">
        <f aca="false">AVERAGE(H2,H51)</f>
        <v>115</v>
      </c>
      <c r="I6" s="4" t="n">
        <v>0.1</v>
      </c>
      <c r="J6" s="0" t="n">
        <f aca="false">MONTH(B6)</f>
        <v>1</v>
      </c>
    </row>
    <row r="7" customFormat="false" ht="12.8" hidden="false" customHeight="false" outlineLevel="0" collapsed="false">
      <c r="A7" s="2" t="n">
        <v>1006</v>
      </c>
      <c r="B7" s="5" t="n">
        <v>45297</v>
      </c>
      <c r="C7" s="4" t="s">
        <v>21</v>
      </c>
      <c r="D7" s="4" t="s">
        <v>22</v>
      </c>
      <c r="E7" s="4" t="s">
        <v>18</v>
      </c>
      <c r="F7" s="4" t="n">
        <v>120</v>
      </c>
      <c r="G7" s="4" t="n">
        <v>1</v>
      </c>
      <c r="H7" s="4" t="n">
        <v>20</v>
      </c>
      <c r="I7" s="4" t="n">
        <v>0</v>
      </c>
      <c r="J7" s="0" t="n">
        <f aca="false">MONTH(B7)</f>
        <v>1</v>
      </c>
    </row>
    <row r="8" customFormat="false" ht="12.8" hidden="false" customHeight="false" outlineLevel="0" collapsed="false">
      <c r="A8" s="2" t="n">
        <v>1007</v>
      </c>
      <c r="B8" s="5" t="n">
        <v>45298</v>
      </c>
      <c r="C8" s="4" t="s">
        <v>23</v>
      </c>
      <c r="D8" s="4" t="s">
        <v>17</v>
      </c>
      <c r="E8" s="4" t="s">
        <v>12</v>
      </c>
      <c r="F8" s="4" t="n">
        <v>650</v>
      </c>
      <c r="G8" s="4" t="n">
        <v>3</v>
      </c>
      <c r="H8" s="4" t="n">
        <v>150</v>
      </c>
      <c r="I8" s="4" t="n">
        <v>0.05</v>
      </c>
      <c r="J8" s="0" t="n">
        <f aca="false">MONTH(B8)</f>
        <v>1</v>
      </c>
    </row>
    <row r="9" customFormat="false" ht="12.8" hidden="false" customHeight="false" outlineLevel="0" collapsed="false">
      <c r="A9" s="2" t="n">
        <v>1008</v>
      </c>
      <c r="B9" s="5" t="n">
        <v>45299</v>
      </c>
      <c r="C9" s="4" t="s">
        <v>24</v>
      </c>
      <c r="D9" s="4" t="s">
        <v>11</v>
      </c>
      <c r="E9" s="4" t="s">
        <v>15</v>
      </c>
      <c r="F9" s="4" t="n">
        <v>350</v>
      </c>
      <c r="G9" s="4" t="n">
        <v>2</v>
      </c>
      <c r="H9" s="4" t="n">
        <v>60</v>
      </c>
      <c r="I9" s="4" t="n">
        <v>0.2</v>
      </c>
      <c r="J9" s="0" t="n">
        <f aca="false">MONTH(B9)</f>
        <v>1</v>
      </c>
    </row>
    <row r="10" customFormat="false" ht="12.8" hidden="false" customHeight="false" outlineLevel="0" collapsed="false">
      <c r="A10" s="2" t="n">
        <v>1009</v>
      </c>
      <c r="B10" s="5" t="n">
        <v>45300</v>
      </c>
      <c r="C10" s="4" t="s">
        <v>25</v>
      </c>
      <c r="D10" s="4" t="s">
        <v>14</v>
      </c>
      <c r="E10" s="4" t="s">
        <v>18</v>
      </c>
      <c r="F10" s="4" t="n">
        <v>200</v>
      </c>
      <c r="G10" s="4" t="n">
        <v>5</v>
      </c>
      <c r="H10" s="4" t="n">
        <v>40</v>
      </c>
      <c r="I10" s="4" t="n">
        <v>0</v>
      </c>
      <c r="J10" s="0" t="n">
        <f aca="false">MONTH(B10)</f>
        <v>1</v>
      </c>
    </row>
    <row r="11" customFormat="false" ht="12.8" hidden="false" customHeight="false" outlineLevel="0" collapsed="false">
      <c r="A11" s="2" t="n">
        <v>1010</v>
      </c>
      <c r="B11" s="5" t="n">
        <v>45301</v>
      </c>
      <c r="C11" s="4" t="s">
        <v>26</v>
      </c>
      <c r="D11" s="4" t="s">
        <v>22</v>
      </c>
      <c r="E11" s="4" t="s">
        <v>12</v>
      </c>
      <c r="F11" s="4" t="n">
        <v>800</v>
      </c>
      <c r="G11" s="4" t="n">
        <v>2</v>
      </c>
      <c r="H11" s="4" t="n">
        <v>250</v>
      </c>
      <c r="I11" s="4" t="n">
        <v>0.1</v>
      </c>
      <c r="J11" s="0" t="n">
        <f aca="false">MONTH(B11)</f>
        <v>1</v>
      </c>
    </row>
    <row r="12" customFormat="false" ht="12.8" hidden="false" customHeight="false" outlineLevel="0" collapsed="false">
      <c r="A12" s="2" t="n">
        <v>1011</v>
      </c>
      <c r="B12" s="5" t="n">
        <v>45302</v>
      </c>
      <c r="C12" s="4" t="s">
        <v>27</v>
      </c>
      <c r="D12" s="4" t="s">
        <v>17</v>
      </c>
      <c r="E12" s="4" t="s">
        <v>15</v>
      </c>
      <c r="F12" s="4" t="n">
        <v>450</v>
      </c>
      <c r="G12" s="4" t="n">
        <v>3</v>
      </c>
      <c r="H12" s="4" t="n">
        <v>90</v>
      </c>
      <c r="I12" s="4" t="n">
        <v>0.15</v>
      </c>
      <c r="J12" s="0" t="n">
        <f aca="false">MONTH(B12)</f>
        <v>1</v>
      </c>
    </row>
    <row r="13" customFormat="false" ht="12.8" hidden="false" customHeight="false" outlineLevel="0" collapsed="false">
      <c r="A13" s="2" t="n">
        <v>1012</v>
      </c>
      <c r="B13" s="5" t="n">
        <v>45303</v>
      </c>
      <c r="C13" s="4" t="s">
        <v>28</v>
      </c>
      <c r="D13" s="4" t="s">
        <v>11</v>
      </c>
      <c r="E13" s="4" t="s">
        <v>18</v>
      </c>
      <c r="F13" s="4" t="n">
        <v>180</v>
      </c>
      <c r="G13" s="4" t="n">
        <v>2</v>
      </c>
      <c r="H13" s="4" t="n">
        <v>35</v>
      </c>
      <c r="I13" s="4" t="n">
        <v>0</v>
      </c>
      <c r="J13" s="0" t="n">
        <f aca="false">MONTH(B13)</f>
        <v>1</v>
      </c>
    </row>
    <row r="14" customFormat="false" ht="12.8" hidden="false" customHeight="false" outlineLevel="0" collapsed="false">
      <c r="A14" s="2" t="n">
        <v>1013</v>
      </c>
      <c r="B14" s="5" t="n">
        <v>45304</v>
      </c>
      <c r="C14" s="4" t="s">
        <v>29</v>
      </c>
      <c r="D14" s="4" t="s">
        <v>14</v>
      </c>
      <c r="E14" s="4" t="s">
        <v>12</v>
      </c>
      <c r="F14" s="4" t="n">
        <v>900</v>
      </c>
      <c r="G14" s="4" t="n">
        <v>5</v>
      </c>
      <c r="H14" s="4" t="n">
        <v>300</v>
      </c>
      <c r="I14" s="4" t="n">
        <v>0.05</v>
      </c>
      <c r="J14" s="0" t="n">
        <f aca="false">MONTH(B14)</f>
        <v>1</v>
      </c>
    </row>
    <row r="15" customFormat="false" ht="12.8" hidden="false" customHeight="false" outlineLevel="0" collapsed="false">
      <c r="A15" s="2" t="n">
        <v>1014</v>
      </c>
      <c r="B15" s="5" t="n">
        <v>45305</v>
      </c>
      <c r="C15" s="4" t="s">
        <v>30</v>
      </c>
      <c r="D15" s="4" t="s">
        <v>22</v>
      </c>
      <c r="E15" s="4" t="s">
        <v>15</v>
      </c>
      <c r="F15" s="4" t="n">
        <v>380</v>
      </c>
      <c r="G15" s="4" t="n">
        <v>2</v>
      </c>
      <c r="H15" s="4" t="n">
        <v>70</v>
      </c>
      <c r="I15" s="4" t="n">
        <v>0.2</v>
      </c>
      <c r="J15" s="0" t="n">
        <f aca="false">MONTH(B15)</f>
        <v>1</v>
      </c>
    </row>
    <row r="16" customFormat="false" ht="12.8" hidden="false" customHeight="false" outlineLevel="0" collapsed="false">
      <c r="A16" s="2" t="n">
        <v>1015</v>
      </c>
      <c r="B16" s="5" t="n">
        <v>45306</v>
      </c>
      <c r="C16" s="4" t="s">
        <v>31</v>
      </c>
      <c r="D16" s="4" t="s">
        <v>17</v>
      </c>
      <c r="E16" s="4" t="s">
        <v>18</v>
      </c>
      <c r="F16" s="4" t="n">
        <v>220</v>
      </c>
      <c r="G16" s="4" t="n">
        <v>4</v>
      </c>
      <c r="H16" s="4" t="n">
        <v>50</v>
      </c>
      <c r="I16" s="4" t="n">
        <f aca="false">AVERAGE(I2,I51)</f>
        <v>0.125</v>
      </c>
      <c r="J16" s="0" t="n">
        <f aca="false">MONTH(B16)</f>
        <v>1</v>
      </c>
    </row>
    <row r="17" customFormat="false" ht="12.8" hidden="false" customHeight="false" outlineLevel="0" collapsed="false">
      <c r="A17" s="2" t="n">
        <v>1016</v>
      </c>
      <c r="B17" s="5" t="n">
        <v>45307</v>
      </c>
      <c r="C17" s="4" t="s">
        <v>32</v>
      </c>
      <c r="D17" s="4" t="s">
        <v>11</v>
      </c>
      <c r="E17" s="4" t="s">
        <v>12</v>
      </c>
      <c r="F17" s="4" t="n">
        <v>750</v>
      </c>
      <c r="G17" s="4" t="n">
        <v>3</v>
      </c>
      <c r="H17" s="4" t="n">
        <v>210</v>
      </c>
      <c r="I17" s="4" t="n">
        <v>0.1</v>
      </c>
      <c r="J17" s="0" t="n">
        <f aca="false">MONTH(B17)</f>
        <v>1</v>
      </c>
    </row>
    <row r="18" customFormat="false" ht="12.8" hidden="false" customHeight="false" outlineLevel="0" collapsed="false">
      <c r="A18" s="2" t="n">
        <v>1017</v>
      </c>
      <c r="B18" s="5" t="n">
        <v>45308</v>
      </c>
      <c r="C18" s="4" t="s">
        <v>33</v>
      </c>
      <c r="D18" s="4" t="s">
        <v>14</v>
      </c>
      <c r="E18" s="4" t="s">
        <v>15</v>
      </c>
      <c r="F18" s="4" t="n">
        <v>420</v>
      </c>
      <c r="G18" s="4" t="n">
        <v>2</v>
      </c>
      <c r="H18" s="4" t="n">
        <v>85</v>
      </c>
      <c r="I18" s="4" t="n">
        <v>0.15</v>
      </c>
      <c r="J18" s="0" t="n">
        <f aca="false">MONTH(B18)</f>
        <v>1</v>
      </c>
    </row>
    <row r="19" customFormat="false" ht="12.8" hidden="false" customHeight="false" outlineLevel="0" collapsed="false">
      <c r="A19" s="2" t="n">
        <v>1018</v>
      </c>
      <c r="B19" s="5" t="n">
        <v>45309</v>
      </c>
      <c r="C19" s="4" t="s">
        <v>34</v>
      </c>
      <c r="D19" s="4" t="s">
        <v>22</v>
      </c>
      <c r="E19" s="4" t="s">
        <v>18</v>
      </c>
      <c r="F19" s="4" t="n">
        <v>160</v>
      </c>
      <c r="G19" s="4" t="n">
        <v>2</v>
      </c>
      <c r="H19" s="4" t="n">
        <v>25</v>
      </c>
      <c r="I19" s="4" t="n">
        <v>0</v>
      </c>
      <c r="J19" s="0" t="n">
        <f aca="false">MONTH(B19)</f>
        <v>1</v>
      </c>
    </row>
    <row r="20" customFormat="false" ht="12.8" hidden="false" customHeight="false" outlineLevel="0" collapsed="false">
      <c r="A20" s="2" t="n">
        <v>1019</v>
      </c>
      <c r="B20" s="5" t="n">
        <v>45310</v>
      </c>
      <c r="C20" s="4" t="s">
        <v>35</v>
      </c>
      <c r="D20" s="4" t="s">
        <v>17</v>
      </c>
      <c r="E20" s="4" t="s">
        <v>12</v>
      </c>
      <c r="F20" s="4" t="n">
        <v>680</v>
      </c>
      <c r="G20" s="4" t="n">
        <v>4</v>
      </c>
      <c r="H20" s="4" t="n">
        <v>160</v>
      </c>
      <c r="I20" s="4" t="n">
        <v>0.05</v>
      </c>
      <c r="J20" s="0" t="n">
        <f aca="false">MONTH(B20)</f>
        <v>1</v>
      </c>
    </row>
    <row r="21" customFormat="false" ht="12.8" hidden="false" customHeight="false" outlineLevel="0" collapsed="false">
      <c r="A21" s="2" t="n">
        <v>1020</v>
      </c>
      <c r="B21" s="5" t="n">
        <v>45311</v>
      </c>
      <c r="C21" s="4" t="s">
        <v>36</v>
      </c>
      <c r="D21" s="4" t="s">
        <v>11</v>
      </c>
      <c r="E21" s="4" t="s">
        <v>15</v>
      </c>
      <c r="F21" s="4" t="n">
        <v>390</v>
      </c>
      <c r="G21" s="4" t="n">
        <v>2</v>
      </c>
      <c r="H21" s="4" t="n">
        <v>75</v>
      </c>
      <c r="I21" s="4" t="n">
        <v>0.2</v>
      </c>
      <c r="J21" s="0" t="n">
        <f aca="false">MONTH(B21)</f>
        <v>1</v>
      </c>
    </row>
    <row r="22" customFormat="false" ht="12.8" hidden="false" customHeight="false" outlineLevel="0" collapsed="false">
      <c r="A22" s="2" t="n">
        <v>1021</v>
      </c>
      <c r="B22" s="5" t="n">
        <v>45312</v>
      </c>
      <c r="C22" s="4" t="s">
        <v>37</v>
      </c>
      <c r="D22" s="4" t="s">
        <v>14</v>
      </c>
      <c r="E22" s="4" t="s">
        <v>18</v>
      </c>
      <c r="F22" s="4" t="n">
        <v>210</v>
      </c>
      <c r="G22" s="4" t="n">
        <v>3</v>
      </c>
      <c r="H22" s="4" t="n">
        <v>45</v>
      </c>
      <c r="I22" s="4" t="n">
        <v>0</v>
      </c>
      <c r="J22" s="0" t="n">
        <f aca="false">MONTH(B22)</f>
        <v>1</v>
      </c>
    </row>
    <row r="23" customFormat="false" ht="12.8" hidden="false" customHeight="false" outlineLevel="0" collapsed="false">
      <c r="A23" s="2" t="n">
        <v>1022</v>
      </c>
      <c r="B23" s="5" t="n">
        <v>45313</v>
      </c>
      <c r="C23" s="4" t="s">
        <v>38</v>
      </c>
      <c r="D23" s="4" t="s">
        <v>22</v>
      </c>
      <c r="E23" s="4" t="s">
        <v>12</v>
      </c>
      <c r="F23" s="4" t="n">
        <v>820</v>
      </c>
      <c r="G23" s="4" t="n">
        <v>3</v>
      </c>
      <c r="H23" s="4" t="n">
        <v>260</v>
      </c>
      <c r="I23" s="4" t="n">
        <v>0.1</v>
      </c>
      <c r="J23" s="0" t="n">
        <f aca="false">MONTH(B23)</f>
        <v>1</v>
      </c>
    </row>
    <row r="24" customFormat="false" ht="12.8" hidden="false" customHeight="false" outlineLevel="0" collapsed="false">
      <c r="A24" s="2" t="n">
        <v>1023</v>
      </c>
      <c r="B24" s="5" t="n">
        <v>45314</v>
      </c>
      <c r="C24" s="4" t="s">
        <v>39</v>
      </c>
      <c r="D24" s="4" t="s">
        <v>17</v>
      </c>
      <c r="E24" s="4" t="s">
        <v>15</v>
      </c>
      <c r="F24" s="4" t="n">
        <v>460</v>
      </c>
      <c r="G24" s="4" t="n">
        <v>2</v>
      </c>
      <c r="H24" s="4" t="n">
        <v>95</v>
      </c>
      <c r="I24" s="4" t="n">
        <v>0.15</v>
      </c>
      <c r="J24" s="0" t="n">
        <f aca="false">MONTH(B24)</f>
        <v>1</v>
      </c>
    </row>
    <row r="25" customFormat="false" ht="12.8" hidden="false" customHeight="false" outlineLevel="0" collapsed="false">
      <c r="A25" s="2" t="n">
        <v>1024</v>
      </c>
      <c r="B25" s="5" t="n">
        <v>45315</v>
      </c>
      <c r="C25" s="4" t="s">
        <v>40</v>
      </c>
      <c r="D25" s="4" t="s">
        <v>11</v>
      </c>
      <c r="E25" s="4" t="s">
        <v>18</v>
      </c>
      <c r="F25" s="4" t="n">
        <v>170</v>
      </c>
      <c r="G25" s="4" t="n">
        <v>2</v>
      </c>
      <c r="H25" s="4" t="n">
        <v>30</v>
      </c>
      <c r="I25" s="4" t="n">
        <v>0</v>
      </c>
      <c r="J25" s="0" t="n">
        <f aca="false">MONTH(B25)</f>
        <v>1</v>
      </c>
    </row>
    <row r="26" customFormat="false" ht="12.8" hidden="false" customHeight="false" outlineLevel="0" collapsed="false">
      <c r="A26" s="2" t="n">
        <v>1025</v>
      </c>
      <c r="B26" s="5" t="n">
        <v>45316</v>
      </c>
      <c r="C26" s="4" t="s">
        <v>41</v>
      </c>
      <c r="D26" s="4" t="s">
        <v>14</v>
      </c>
      <c r="E26" s="4" t="s">
        <v>12</v>
      </c>
      <c r="F26" s="4" t="n">
        <v>880</v>
      </c>
      <c r="G26" s="4" t="n">
        <v>4</v>
      </c>
      <c r="H26" s="4" t="n">
        <v>280</v>
      </c>
      <c r="I26" s="4" t="n">
        <v>0.05</v>
      </c>
      <c r="J26" s="0" t="n">
        <f aca="false">MONTH(B26)</f>
        <v>1</v>
      </c>
    </row>
    <row r="27" customFormat="false" ht="12.8" hidden="false" customHeight="false" outlineLevel="0" collapsed="false">
      <c r="A27" s="2" t="n">
        <v>1026</v>
      </c>
      <c r="B27" s="5" t="n">
        <v>45317</v>
      </c>
      <c r="C27" s="4" t="s">
        <v>42</v>
      </c>
      <c r="D27" s="4" t="s">
        <v>17</v>
      </c>
      <c r="E27" s="4" t="s">
        <v>15</v>
      </c>
      <c r="F27" s="4" t="n">
        <v>470</v>
      </c>
      <c r="G27" s="4" t="n">
        <v>2</v>
      </c>
      <c r="H27" s="4" t="n">
        <v>100</v>
      </c>
      <c r="I27" s="4" t="n">
        <v>0.15</v>
      </c>
      <c r="J27" s="0" t="n">
        <f aca="false">MONTH(B27)</f>
        <v>1</v>
      </c>
    </row>
    <row r="28" customFormat="false" ht="12.8" hidden="false" customHeight="false" outlineLevel="0" collapsed="false">
      <c r="A28" s="2" t="n">
        <v>1027</v>
      </c>
      <c r="B28" s="5" t="n">
        <v>45318</v>
      </c>
      <c r="C28" s="4" t="s">
        <v>43</v>
      </c>
      <c r="D28" s="4" t="s">
        <v>11</v>
      </c>
      <c r="E28" s="4" t="s">
        <v>18</v>
      </c>
      <c r="F28" s="4" t="n">
        <v>190</v>
      </c>
      <c r="G28" s="4" t="n">
        <v>3</v>
      </c>
      <c r="H28" s="4" t="n">
        <f aca="false">AVERAGE(H2,H51)</f>
        <v>115</v>
      </c>
      <c r="I28" s="4" t="n">
        <v>0</v>
      </c>
      <c r="J28" s="0" t="n">
        <f aca="false">MONTH(B28)</f>
        <v>1</v>
      </c>
    </row>
    <row r="29" customFormat="false" ht="12.8" hidden="false" customHeight="false" outlineLevel="0" collapsed="false">
      <c r="A29" s="2" t="n">
        <v>1028</v>
      </c>
      <c r="B29" s="5" t="n">
        <v>45319</v>
      </c>
      <c r="C29" s="4" t="s">
        <v>44</v>
      </c>
      <c r="D29" s="4" t="s">
        <v>14</v>
      </c>
      <c r="E29" s="4" t="s">
        <v>12</v>
      </c>
      <c r="F29" s="4" t="n">
        <v>920</v>
      </c>
      <c r="G29" s="4" t="n">
        <v>5</v>
      </c>
      <c r="H29" s="4" t="n">
        <v>310</v>
      </c>
      <c r="I29" s="4" t="n">
        <v>0.05</v>
      </c>
      <c r="J29" s="0" t="n">
        <f aca="false">MONTH(B29)</f>
        <v>1</v>
      </c>
    </row>
    <row r="30" customFormat="false" ht="12.8" hidden="false" customHeight="false" outlineLevel="0" collapsed="false">
      <c r="A30" s="2" t="n">
        <v>1029</v>
      </c>
      <c r="B30" s="5" t="n">
        <v>45320</v>
      </c>
      <c r="C30" s="4" t="s">
        <v>45</v>
      </c>
      <c r="D30" s="4" t="s">
        <v>22</v>
      </c>
      <c r="E30" s="4" t="s">
        <v>15</v>
      </c>
      <c r="F30" s="4" t="n">
        <v>410</v>
      </c>
      <c r="G30" s="4" t="n">
        <v>2</v>
      </c>
      <c r="H30" s="4" t="n">
        <v>80</v>
      </c>
      <c r="I30" s="4" t="n">
        <v>0.2</v>
      </c>
      <c r="J30" s="0" t="n">
        <f aca="false">MONTH(B30)</f>
        <v>1</v>
      </c>
    </row>
    <row r="31" customFormat="false" ht="12.8" hidden="false" customHeight="false" outlineLevel="0" collapsed="false">
      <c r="A31" s="2" t="n">
        <v>1030</v>
      </c>
      <c r="B31" s="5" t="n">
        <v>45321</v>
      </c>
      <c r="C31" s="4" t="s">
        <v>46</v>
      </c>
      <c r="D31" s="4" t="s">
        <v>17</v>
      </c>
      <c r="E31" s="4" t="s">
        <v>18</v>
      </c>
      <c r="F31" s="4" t="n">
        <v>230</v>
      </c>
      <c r="G31" s="4" t="n">
        <v>4</v>
      </c>
      <c r="H31" s="4" t="n">
        <v>55</v>
      </c>
      <c r="I31" s="4" t="n">
        <v>0</v>
      </c>
      <c r="J31" s="0" t="n">
        <f aca="false">MONTH(B31)</f>
        <v>1</v>
      </c>
    </row>
    <row r="32" customFormat="false" ht="12.8" hidden="false" customHeight="false" outlineLevel="0" collapsed="false">
      <c r="A32" s="2" t="n">
        <v>1031</v>
      </c>
      <c r="B32" s="5" t="n">
        <v>45322</v>
      </c>
      <c r="C32" s="4" t="s">
        <v>47</v>
      </c>
      <c r="D32" s="4" t="s">
        <v>11</v>
      </c>
      <c r="E32" s="4" t="s">
        <v>12</v>
      </c>
      <c r="F32" s="4" t="n">
        <v>770</v>
      </c>
      <c r="G32" s="4" t="n">
        <v>3</v>
      </c>
      <c r="H32" s="4" t="n">
        <v>220</v>
      </c>
      <c r="I32" s="4" t="n">
        <v>0.1</v>
      </c>
      <c r="J32" s="0" t="n">
        <f aca="false">MONTH(B32)</f>
        <v>1</v>
      </c>
    </row>
    <row r="33" customFormat="false" ht="12.8" hidden="false" customHeight="false" outlineLevel="0" collapsed="false">
      <c r="A33" s="2" t="n">
        <v>1032</v>
      </c>
      <c r="B33" s="5" t="n">
        <v>45323</v>
      </c>
      <c r="C33" s="4" t="s">
        <v>48</v>
      </c>
      <c r="D33" s="4" t="s">
        <v>14</v>
      </c>
      <c r="E33" s="4" t="s">
        <v>15</v>
      </c>
      <c r="F33" s="4" t="n">
        <v>430</v>
      </c>
      <c r="G33" s="4" t="n">
        <v>2</v>
      </c>
      <c r="H33" s="4" t="n">
        <v>90</v>
      </c>
      <c r="I33" s="4" t="n">
        <v>0.15</v>
      </c>
      <c r="J33" s="0" t="n">
        <f aca="false">MONTH(B33)</f>
        <v>2</v>
      </c>
    </row>
    <row r="34" customFormat="false" ht="12.8" hidden="false" customHeight="false" outlineLevel="0" collapsed="false">
      <c r="A34" s="2" t="n">
        <v>1033</v>
      </c>
      <c r="B34" s="5" t="n">
        <v>45324</v>
      </c>
      <c r="C34" s="4" t="s">
        <v>49</v>
      </c>
      <c r="D34" s="4" t="s">
        <v>22</v>
      </c>
      <c r="E34" s="4" t="s">
        <v>18</v>
      </c>
      <c r="F34" s="4" t="n">
        <v>175</v>
      </c>
      <c r="G34" s="4" t="n">
        <v>2</v>
      </c>
      <c r="H34" s="4" t="n">
        <v>35</v>
      </c>
      <c r="I34" s="4" t="n">
        <v>0</v>
      </c>
      <c r="J34" s="0" t="n">
        <f aca="false">MONTH(B34)</f>
        <v>2</v>
      </c>
    </row>
    <row r="35" customFormat="false" ht="12.8" hidden="false" customHeight="false" outlineLevel="0" collapsed="false">
      <c r="A35" s="2" t="n">
        <v>1034</v>
      </c>
      <c r="B35" s="5" t="n">
        <v>45325</v>
      </c>
      <c r="C35" s="4" t="s">
        <v>50</v>
      </c>
      <c r="D35" s="4" t="s">
        <v>17</v>
      </c>
      <c r="E35" s="4" t="s">
        <v>12</v>
      </c>
      <c r="F35" s="4" t="n">
        <v>690</v>
      </c>
      <c r="G35" s="4" t="n">
        <v>4</v>
      </c>
      <c r="H35" s="4" t="n">
        <v>170</v>
      </c>
      <c r="I35" s="4" t="n">
        <v>0.05</v>
      </c>
      <c r="J35" s="0" t="n">
        <f aca="false">MONTH(B35)</f>
        <v>2</v>
      </c>
    </row>
    <row r="36" customFormat="false" ht="12.8" hidden="false" customHeight="false" outlineLevel="0" collapsed="false">
      <c r="A36" s="2" t="n">
        <v>1035</v>
      </c>
      <c r="B36" s="5" t="n">
        <v>45326</v>
      </c>
      <c r="C36" s="4" t="s">
        <v>51</v>
      </c>
      <c r="D36" s="4" t="s">
        <v>11</v>
      </c>
      <c r="E36" s="4" t="s">
        <v>15</v>
      </c>
      <c r="F36" s="4" t="n">
        <v>395</v>
      </c>
      <c r="G36" s="4" t="n">
        <v>2</v>
      </c>
      <c r="H36" s="4" t="n">
        <v>75</v>
      </c>
      <c r="I36" s="4" t="n">
        <v>0.2</v>
      </c>
      <c r="J36" s="0" t="n">
        <f aca="false">MONTH(B36)</f>
        <v>2</v>
      </c>
    </row>
    <row r="37" customFormat="false" ht="12.8" hidden="false" customHeight="false" outlineLevel="0" collapsed="false">
      <c r="A37" s="2" t="n">
        <v>1036</v>
      </c>
      <c r="B37" s="5" t="n">
        <v>45327</v>
      </c>
      <c r="C37" s="4" t="s">
        <v>52</v>
      </c>
      <c r="D37" s="4" t="s">
        <v>14</v>
      </c>
      <c r="E37" s="4" t="s">
        <v>18</v>
      </c>
      <c r="F37" s="4" t="n">
        <v>215</v>
      </c>
      <c r="G37" s="4" t="n">
        <v>3</v>
      </c>
      <c r="H37" s="4" t="n">
        <v>50</v>
      </c>
      <c r="I37" s="4" t="n">
        <f aca="false">AVERAGE(I2,I51)</f>
        <v>0.125</v>
      </c>
      <c r="J37" s="0" t="n">
        <f aca="false">MONTH(B37)</f>
        <v>2</v>
      </c>
    </row>
    <row r="38" customFormat="false" ht="12.8" hidden="false" customHeight="false" outlineLevel="0" collapsed="false">
      <c r="A38" s="2" t="n">
        <v>1037</v>
      </c>
      <c r="B38" s="5" t="n">
        <v>45328</v>
      </c>
      <c r="C38" s="4" t="s">
        <v>53</v>
      </c>
      <c r="D38" s="4" t="s">
        <v>22</v>
      </c>
      <c r="E38" s="4" t="s">
        <v>12</v>
      </c>
      <c r="F38" s="4" t="n">
        <v>830</v>
      </c>
      <c r="G38" s="4" t="n">
        <v>3</v>
      </c>
      <c r="H38" s="4" t="n">
        <v>260</v>
      </c>
      <c r="I38" s="4" t="n">
        <v>0.1</v>
      </c>
      <c r="J38" s="0" t="n">
        <f aca="false">MONTH(B38)</f>
        <v>2</v>
      </c>
    </row>
    <row r="39" customFormat="false" ht="12.8" hidden="false" customHeight="false" outlineLevel="0" collapsed="false">
      <c r="A39" s="2" t="n">
        <v>1038</v>
      </c>
      <c r="B39" s="5" t="n">
        <v>45329</v>
      </c>
      <c r="C39" s="4" t="s">
        <v>54</v>
      </c>
      <c r="D39" s="4" t="s">
        <v>17</v>
      </c>
      <c r="E39" s="4" t="s">
        <v>15</v>
      </c>
      <c r="F39" s="4" t="n">
        <v>480</v>
      </c>
      <c r="G39" s="4" t="n">
        <v>2</v>
      </c>
      <c r="H39" s="4" t="n">
        <v>100</v>
      </c>
      <c r="I39" s="4" t="n">
        <v>0.15</v>
      </c>
      <c r="J39" s="0" t="n">
        <f aca="false">MONTH(B39)</f>
        <v>2</v>
      </c>
    </row>
    <row r="40" customFormat="false" ht="12.8" hidden="false" customHeight="false" outlineLevel="0" collapsed="false">
      <c r="A40" s="2" t="n">
        <v>1039</v>
      </c>
      <c r="B40" s="5" t="n">
        <v>45330</v>
      </c>
      <c r="C40" s="4" t="s">
        <v>55</v>
      </c>
      <c r="D40" s="4" t="s">
        <v>11</v>
      </c>
      <c r="E40" s="4" t="s">
        <v>18</v>
      </c>
      <c r="F40" s="4" t="n">
        <v>185</v>
      </c>
      <c r="G40" s="4" t="n">
        <v>2</v>
      </c>
      <c r="H40" s="4" t="n">
        <v>40</v>
      </c>
      <c r="I40" s="4" t="n">
        <v>0</v>
      </c>
      <c r="J40" s="0" t="n">
        <f aca="false">MONTH(B40)</f>
        <v>2</v>
      </c>
    </row>
    <row r="41" customFormat="false" ht="12.8" hidden="false" customHeight="false" outlineLevel="0" collapsed="false">
      <c r="A41" s="2" t="n">
        <v>1040</v>
      </c>
      <c r="B41" s="5" t="n">
        <v>45331</v>
      </c>
      <c r="C41" s="4" t="s">
        <v>56</v>
      </c>
      <c r="D41" s="4" t="s">
        <v>14</v>
      </c>
      <c r="E41" s="4" t="s">
        <v>12</v>
      </c>
      <c r="F41" s="4" t="n">
        <v>910</v>
      </c>
      <c r="G41" s="4" t="n">
        <v>4</v>
      </c>
      <c r="H41" s="4" t="n">
        <v>300</v>
      </c>
      <c r="I41" s="4" t="n">
        <v>0.05</v>
      </c>
      <c r="J41" s="0" t="n">
        <f aca="false">MONTH(B41)</f>
        <v>2</v>
      </c>
    </row>
    <row r="42" customFormat="false" ht="12.8" hidden="false" customHeight="false" outlineLevel="0" collapsed="false">
      <c r="A42" s="2" t="n">
        <v>1041</v>
      </c>
      <c r="B42" s="5" t="n">
        <v>45332</v>
      </c>
      <c r="C42" s="4" t="s">
        <v>57</v>
      </c>
      <c r="D42" s="4" t="s">
        <v>22</v>
      </c>
      <c r="E42" s="4" t="s">
        <v>15</v>
      </c>
      <c r="F42" s="4" t="n">
        <v>420</v>
      </c>
      <c r="G42" s="4" t="n">
        <v>2</v>
      </c>
      <c r="H42" s="4" t="n">
        <v>85</v>
      </c>
      <c r="I42" s="4" t="n">
        <v>0.2</v>
      </c>
      <c r="J42" s="0" t="n">
        <f aca="false">MONTH(B42)</f>
        <v>2</v>
      </c>
    </row>
    <row r="43" customFormat="false" ht="12.8" hidden="false" customHeight="false" outlineLevel="0" collapsed="false">
      <c r="A43" s="2" t="n">
        <v>1042</v>
      </c>
      <c r="B43" s="5" t="n">
        <v>45333</v>
      </c>
      <c r="C43" s="4" t="s">
        <v>58</v>
      </c>
      <c r="D43" s="4" t="s">
        <v>17</v>
      </c>
      <c r="E43" s="4" t="s">
        <v>18</v>
      </c>
      <c r="F43" s="4" t="n">
        <v>240</v>
      </c>
      <c r="G43" s="4" t="n">
        <v>4</v>
      </c>
      <c r="H43" s="4" t="n">
        <v>60</v>
      </c>
      <c r="I43" s="4" t="n">
        <v>0</v>
      </c>
      <c r="J43" s="0" t="n">
        <f aca="false">MONTH(B43)</f>
        <v>2</v>
      </c>
    </row>
    <row r="44" customFormat="false" ht="12.8" hidden="false" customHeight="false" outlineLevel="0" collapsed="false">
      <c r="A44" s="2" t="n">
        <v>1043</v>
      </c>
      <c r="B44" s="5" t="n">
        <v>45334</v>
      </c>
      <c r="C44" s="4" t="s">
        <v>59</v>
      </c>
      <c r="D44" s="4" t="s">
        <v>11</v>
      </c>
      <c r="E44" s="4" t="s">
        <v>12</v>
      </c>
      <c r="F44" s="4" t="n">
        <v>760</v>
      </c>
      <c r="G44" s="4" t="n">
        <v>3</v>
      </c>
      <c r="H44" s="4" t="n">
        <v>210</v>
      </c>
      <c r="I44" s="4" t="n">
        <v>0.1</v>
      </c>
      <c r="J44" s="0" t="n">
        <f aca="false">MONTH(B44)</f>
        <v>2</v>
      </c>
    </row>
    <row r="45" customFormat="false" ht="12.8" hidden="false" customHeight="false" outlineLevel="0" collapsed="false">
      <c r="A45" s="2" t="n">
        <v>1044</v>
      </c>
      <c r="B45" s="5" t="n">
        <v>45335</v>
      </c>
      <c r="C45" s="4" t="s">
        <v>60</v>
      </c>
      <c r="D45" s="4" t="s">
        <v>14</v>
      </c>
      <c r="E45" s="4" t="s">
        <v>15</v>
      </c>
      <c r="F45" s="4" t="n">
        <v>440</v>
      </c>
      <c r="G45" s="4" t="n">
        <v>2</v>
      </c>
      <c r="H45" s="4" t="n">
        <v>95</v>
      </c>
      <c r="I45" s="4" t="n">
        <v>0.15</v>
      </c>
      <c r="J45" s="0" t="n">
        <f aca="false">MONTH(B45)</f>
        <v>2</v>
      </c>
    </row>
    <row r="46" customFormat="false" ht="12.8" hidden="false" customHeight="false" outlineLevel="0" collapsed="false">
      <c r="A46" s="2" t="n">
        <v>1045</v>
      </c>
      <c r="B46" s="5" t="n">
        <v>45336</v>
      </c>
      <c r="C46" s="4" t="s">
        <v>61</v>
      </c>
      <c r="D46" s="4" t="s">
        <v>22</v>
      </c>
      <c r="E46" s="4" t="s">
        <v>18</v>
      </c>
      <c r="F46" s="4" t="n">
        <v>165</v>
      </c>
      <c r="G46" s="4" t="n">
        <v>2</v>
      </c>
      <c r="H46" s="4" t="n">
        <v>30</v>
      </c>
      <c r="I46" s="4" t="n">
        <f aca="false">AVERAGE(I2,I51)</f>
        <v>0.125</v>
      </c>
      <c r="J46" s="0" t="n">
        <f aca="false">MONTH(B46)</f>
        <v>2</v>
      </c>
    </row>
    <row r="47" customFormat="false" ht="12.8" hidden="false" customHeight="false" outlineLevel="0" collapsed="false">
      <c r="A47" s="2" t="n">
        <v>1046</v>
      </c>
      <c r="B47" s="5" t="n">
        <v>45337</v>
      </c>
      <c r="C47" s="4" t="s">
        <v>62</v>
      </c>
      <c r="D47" s="4" t="s">
        <v>17</v>
      </c>
      <c r="E47" s="4" t="s">
        <v>12</v>
      </c>
      <c r="F47" s="4" t="n">
        <v>700</v>
      </c>
      <c r="G47" s="4" t="n">
        <v>4</v>
      </c>
      <c r="H47" s="4" t="n">
        <v>180</v>
      </c>
      <c r="I47" s="4" t="n">
        <v>0.05</v>
      </c>
      <c r="J47" s="0" t="n">
        <f aca="false">MONTH(B47)</f>
        <v>2</v>
      </c>
    </row>
    <row r="48" customFormat="false" ht="12.8" hidden="false" customHeight="false" outlineLevel="0" collapsed="false">
      <c r="A48" s="2" t="n">
        <v>1047</v>
      </c>
      <c r="B48" s="5" t="n">
        <v>45338</v>
      </c>
      <c r="C48" s="4" t="s">
        <v>63</v>
      </c>
      <c r="D48" s="4" t="s">
        <v>11</v>
      </c>
      <c r="E48" s="4" t="s">
        <v>15</v>
      </c>
      <c r="F48" s="4" t="n">
        <v>405</v>
      </c>
      <c r="G48" s="4" t="n">
        <v>2</v>
      </c>
      <c r="H48" s="4" t="n">
        <v>80</v>
      </c>
      <c r="I48" s="4" t="n">
        <v>0.2</v>
      </c>
      <c r="J48" s="0" t="n">
        <f aca="false">MONTH(B48)</f>
        <v>2</v>
      </c>
    </row>
    <row r="49" customFormat="false" ht="12.8" hidden="false" customHeight="false" outlineLevel="0" collapsed="false">
      <c r="A49" s="2" t="n">
        <v>1048</v>
      </c>
      <c r="B49" s="5" t="n">
        <v>45339</v>
      </c>
      <c r="C49" s="4" t="s">
        <v>64</v>
      </c>
      <c r="D49" s="4" t="s">
        <v>14</v>
      </c>
      <c r="E49" s="4" t="s">
        <v>18</v>
      </c>
      <c r="F49" s="4" t="n">
        <v>225</v>
      </c>
      <c r="G49" s="4" t="n">
        <v>3</v>
      </c>
      <c r="H49" s="4" t="n">
        <v>55</v>
      </c>
      <c r="I49" s="4" t="n">
        <v>0</v>
      </c>
      <c r="J49" s="0" t="n">
        <f aca="false">MONTH(B49)</f>
        <v>2</v>
      </c>
    </row>
    <row r="50" customFormat="false" ht="12.8" hidden="false" customHeight="false" outlineLevel="0" collapsed="false">
      <c r="A50" s="2" t="n">
        <v>1049</v>
      </c>
      <c r="B50" s="5" t="n">
        <v>45340</v>
      </c>
      <c r="C50" s="4" t="s">
        <v>65</v>
      </c>
      <c r="D50" s="4" t="s">
        <v>22</v>
      </c>
      <c r="E50" s="4" t="s">
        <v>12</v>
      </c>
      <c r="F50" s="4" t="n">
        <v>840</v>
      </c>
      <c r="G50" s="4" t="n">
        <v>3</v>
      </c>
      <c r="H50" s="4" t="n">
        <v>270</v>
      </c>
      <c r="I50" s="4" t="n">
        <v>0.1</v>
      </c>
      <c r="J50" s="0" t="n">
        <f aca="false">MONTH(B50)</f>
        <v>2</v>
      </c>
    </row>
    <row r="51" customFormat="false" ht="12.8" hidden="false" customHeight="false" outlineLevel="0" collapsed="false">
      <c r="A51" s="2" t="n">
        <v>1050</v>
      </c>
      <c r="B51" s="5" t="n">
        <v>45341</v>
      </c>
      <c r="C51" s="4" t="s">
        <v>66</v>
      </c>
      <c r="D51" s="4" t="s">
        <v>17</v>
      </c>
      <c r="E51" s="4" t="s">
        <v>15</v>
      </c>
      <c r="F51" s="4" t="n">
        <v>490</v>
      </c>
      <c r="G51" s="4" t="n">
        <v>2</v>
      </c>
      <c r="H51" s="4" t="n">
        <v>110</v>
      </c>
      <c r="I51" s="4" t="n">
        <v>0.15</v>
      </c>
      <c r="J51" s="0" t="n">
        <f aca="false">MONTH(B51)</f>
        <v>2</v>
      </c>
    </row>
  </sheetData>
  <autoFilter ref="A1:I51">
    <filterColumn colId="6">
      <filters blank="1"/>
    </filterColumn>
  </autoFilter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J29" activeCellId="0" sqref="J2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6" t="s">
        <v>2</v>
      </c>
      <c r="B1" s="7" t="s">
        <v>67</v>
      </c>
    </row>
    <row r="2" customFormat="false" ht="12.8" hidden="false" customHeight="false" outlineLevel="0" collapsed="false">
      <c r="A2" s="8" t="s">
        <v>68</v>
      </c>
      <c r="B2" s="9" t="n">
        <v>23225</v>
      </c>
    </row>
    <row r="3" customFormat="false" ht="12.8" hidden="false" customHeight="false" outlineLevel="0" collapsed="false">
      <c r="A3" s="10" t="s">
        <v>44</v>
      </c>
      <c r="B3" s="11" t="n">
        <v>920</v>
      </c>
    </row>
    <row r="4" customFormat="false" ht="12.8" hidden="false" customHeight="false" outlineLevel="0" collapsed="false">
      <c r="A4" s="10" t="s">
        <v>56</v>
      </c>
      <c r="B4" s="11" t="n">
        <v>910</v>
      </c>
    </row>
    <row r="5" customFormat="false" ht="12.8" hidden="false" customHeight="false" outlineLevel="0" collapsed="false">
      <c r="A5" s="10" t="s">
        <v>29</v>
      </c>
      <c r="B5" s="11" t="n">
        <v>900</v>
      </c>
    </row>
    <row r="6" customFormat="false" ht="12.8" hidden="false" customHeight="false" outlineLevel="0" collapsed="false">
      <c r="A6" s="10" t="s">
        <v>41</v>
      </c>
      <c r="B6" s="11" t="n">
        <v>880</v>
      </c>
    </row>
    <row r="7" customFormat="false" ht="12.8" hidden="false" customHeight="false" outlineLevel="0" collapsed="false">
      <c r="A7" s="10" t="s">
        <v>65</v>
      </c>
      <c r="B7" s="11" t="n">
        <v>840</v>
      </c>
    </row>
    <row r="8" customFormat="false" ht="12.8" hidden="false" customHeight="false" outlineLevel="0" collapsed="false">
      <c r="A8" s="10" t="s">
        <v>53</v>
      </c>
      <c r="B8" s="11" t="n">
        <v>830</v>
      </c>
    </row>
    <row r="9" customFormat="false" ht="12.8" hidden="false" customHeight="false" outlineLevel="0" collapsed="false">
      <c r="A9" s="10" t="s">
        <v>38</v>
      </c>
      <c r="B9" s="11" t="n">
        <v>820</v>
      </c>
    </row>
    <row r="10" customFormat="false" ht="12.8" hidden="false" customHeight="false" outlineLevel="0" collapsed="false">
      <c r="A10" s="10" t="s">
        <v>26</v>
      </c>
      <c r="B10" s="11" t="n">
        <v>800</v>
      </c>
    </row>
    <row r="11" customFormat="false" ht="12.8" hidden="false" customHeight="false" outlineLevel="0" collapsed="false">
      <c r="A11" s="10" t="s">
        <v>47</v>
      </c>
      <c r="B11" s="11" t="n">
        <v>770</v>
      </c>
    </row>
    <row r="12" customFormat="false" ht="12.8" hidden="false" customHeight="false" outlineLevel="0" collapsed="false">
      <c r="A12" s="10" t="s">
        <v>59</v>
      </c>
      <c r="B12" s="11" t="n">
        <v>760</v>
      </c>
    </row>
    <row r="13" customFormat="false" ht="12.8" hidden="false" customHeight="false" outlineLevel="0" collapsed="false">
      <c r="A13" s="10" t="s">
        <v>32</v>
      </c>
      <c r="B13" s="11" t="n">
        <v>750</v>
      </c>
    </row>
    <row r="14" customFormat="false" ht="12.8" hidden="false" customHeight="false" outlineLevel="0" collapsed="false">
      <c r="A14" s="10" t="s">
        <v>62</v>
      </c>
      <c r="B14" s="11" t="n">
        <v>700</v>
      </c>
    </row>
    <row r="15" customFormat="false" ht="12.8" hidden="false" customHeight="false" outlineLevel="0" collapsed="false">
      <c r="A15" s="10" t="s">
        <v>19</v>
      </c>
      <c r="B15" s="11" t="n">
        <v>700</v>
      </c>
    </row>
    <row r="16" customFormat="false" ht="12.8" hidden="false" customHeight="false" outlineLevel="0" collapsed="false">
      <c r="A16" s="10" t="s">
        <v>50</v>
      </c>
      <c r="B16" s="11" t="n">
        <v>690</v>
      </c>
    </row>
    <row r="17" customFormat="false" ht="12.8" hidden="false" customHeight="false" outlineLevel="0" collapsed="false">
      <c r="A17" s="10" t="s">
        <v>35</v>
      </c>
      <c r="B17" s="11" t="n">
        <v>680</v>
      </c>
    </row>
    <row r="18" customFormat="false" ht="12.8" hidden="false" customHeight="false" outlineLevel="0" collapsed="false">
      <c r="A18" s="10" t="s">
        <v>23</v>
      </c>
      <c r="B18" s="11" t="n">
        <v>650</v>
      </c>
    </row>
    <row r="19" customFormat="false" ht="12.8" hidden="false" customHeight="false" outlineLevel="0" collapsed="false">
      <c r="A19" s="10" t="s">
        <v>10</v>
      </c>
      <c r="B19" s="11" t="n">
        <v>500</v>
      </c>
    </row>
    <row r="20" customFormat="false" ht="12.8" hidden="false" customHeight="false" outlineLevel="0" collapsed="false">
      <c r="A20" s="10" t="s">
        <v>66</v>
      </c>
      <c r="B20" s="11" t="n">
        <v>490</v>
      </c>
    </row>
    <row r="21" customFormat="false" ht="12.8" hidden="false" customHeight="false" outlineLevel="0" collapsed="false">
      <c r="A21" s="10" t="s">
        <v>54</v>
      </c>
      <c r="B21" s="11" t="n">
        <v>480</v>
      </c>
    </row>
    <row r="22" customFormat="false" ht="12.8" hidden="false" customHeight="false" outlineLevel="0" collapsed="false">
      <c r="A22" s="10" t="s">
        <v>42</v>
      </c>
      <c r="B22" s="11" t="n">
        <v>470</v>
      </c>
    </row>
    <row r="23" customFormat="false" ht="12.8" hidden="false" customHeight="false" outlineLevel="0" collapsed="false">
      <c r="A23" s="10" t="s">
        <v>39</v>
      </c>
      <c r="B23" s="11" t="n">
        <v>460</v>
      </c>
    </row>
    <row r="24" customFormat="false" ht="12.8" hidden="false" customHeight="false" outlineLevel="0" collapsed="false">
      <c r="A24" s="10" t="s">
        <v>27</v>
      </c>
      <c r="B24" s="11" t="n">
        <v>450</v>
      </c>
    </row>
    <row r="25" customFormat="false" ht="12.8" hidden="false" customHeight="false" outlineLevel="0" collapsed="false">
      <c r="A25" s="10" t="s">
        <v>60</v>
      </c>
      <c r="B25" s="11" t="n">
        <v>440</v>
      </c>
    </row>
    <row r="26" customFormat="false" ht="12.8" hidden="false" customHeight="false" outlineLevel="0" collapsed="false">
      <c r="A26" s="10" t="s">
        <v>48</v>
      </c>
      <c r="B26" s="12" t="n">
        <v>430</v>
      </c>
    </row>
    <row r="27" customFormat="false" ht="12.8" hidden="false" customHeight="false" outlineLevel="0" collapsed="false">
      <c r="A27" s="10" t="s">
        <v>57</v>
      </c>
      <c r="B27" s="11" t="n">
        <v>420</v>
      </c>
    </row>
    <row r="28" customFormat="false" ht="12.8" hidden="false" customHeight="false" outlineLevel="0" collapsed="false">
      <c r="A28" s="10" t="s">
        <v>33</v>
      </c>
      <c r="B28" s="11" t="n">
        <v>420</v>
      </c>
    </row>
    <row r="29" customFormat="false" ht="12.8" hidden="false" customHeight="false" outlineLevel="0" collapsed="false">
      <c r="A29" s="10" t="s">
        <v>45</v>
      </c>
      <c r="B29" s="11" t="n">
        <v>410</v>
      </c>
    </row>
    <row r="30" customFormat="false" ht="12.8" hidden="false" customHeight="false" outlineLevel="0" collapsed="false">
      <c r="A30" s="10" t="s">
        <v>63</v>
      </c>
      <c r="B30" s="11" t="n">
        <v>405</v>
      </c>
    </row>
    <row r="31" customFormat="false" ht="12.8" hidden="false" customHeight="false" outlineLevel="0" collapsed="false">
      <c r="A31" s="10" t="s">
        <v>20</v>
      </c>
      <c r="B31" s="11" t="n">
        <v>400</v>
      </c>
    </row>
    <row r="32" customFormat="false" ht="12.8" hidden="false" customHeight="false" outlineLevel="0" collapsed="false">
      <c r="A32" s="10" t="s">
        <v>51</v>
      </c>
      <c r="B32" s="11" t="n">
        <v>395</v>
      </c>
    </row>
    <row r="33" customFormat="false" ht="12.8" hidden="false" customHeight="false" outlineLevel="0" collapsed="false">
      <c r="A33" s="13" t="s">
        <v>36</v>
      </c>
      <c r="B33" s="14" t="n">
        <v>390</v>
      </c>
    </row>
    <row r="34" customFormat="false" ht="12.8" hidden="false" customHeight="false" outlineLevel="0" collapsed="false">
      <c r="A34" s="10" t="s">
        <v>30</v>
      </c>
      <c r="B34" s="11" t="n">
        <v>380</v>
      </c>
    </row>
    <row r="35" customFormat="false" ht="12.8" hidden="false" customHeight="false" outlineLevel="0" collapsed="false">
      <c r="A35" s="10" t="s">
        <v>24</v>
      </c>
      <c r="B35" s="11" t="n">
        <v>350</v>
      </c>
    </row>
    <row r="36" customFormat="false" ht="12.8" hidden="false" customHeight="false" outlineLevel="0" collapsed="false">
      <c r="A36" s="10" t="s">
        <v>13</v>
      </c>
      <c r="B36" s="11" t="n">
        <v>300</v>
      </c>
    </row>
    <row r="37" customFormat="false" ht="12.8" hidden="false" customHeight="false" outlineLevel="0" collapsed="false">
      <c r="A37" s="10" t="s">
        <v>58</v>
      </c>
      <c r="B37" s="11" t="n">
        <v>240</v>
      </c>
    </row>
    <row r="38" customFormat="false" ht="12.8" hidden="false" customHeight="false" outlineLevel="0" collapsed="false">
      <c r="A38" s="10" t="s">
        <v>46</v>
      </c>
      <c r="B38" s="11" t="n">
        <v>230</v>
      </c>
    </row>
    <row r="39" customFormat="false" ht="12.8" hidden="false" customHeight="false" outlineLevel="0" collapsed="false">
      <c r="A39" s="10" t="s">
        <v>64</v>
      </c>
      <c r="B39" s="11" t="n">
        <v>225</v>
      </c>
    </row>
    <row r="40" customFormat="false" ht="12.8" hidden="false" customHeight="false" outlineLevel="0" collapsed="false">
      <c r="A40" s="10" t="s">
        <v>31</v>
      </c>
      <c r="B40" s="11" t="n">
        <v>220</v>
      </c>
    </row>
    <row r="41" customFormat="false" ht="12.8" hidden="false" customHeight="false" outlineLevel="0" collapsed="false">
      <c r="A41" s="10" t="s">
        <v>52</v>
      </c>
      <c r="B41" s="11" t="n">
        <v>215</v>
      </c>
    </row>
    <row r="42" customFormat="false" ht="12.8" hidden="false" customHeight="false" outlineLevel="0" collapsed="false">
      <c r="A42" s="10" t="s">
        <v>37</v>
      </c>
      <c r="B42" s="11" t="n">
        <v>210</v>
      </c>
    </row>
    <row r="43" customFormat="false" ht="12.8" hidden="false" customHeight="false" outlineLevel="0" collapsed="false">
      <c r="A43" s="10" t="s">
        <v>25</v>
      </c>
      <c r="B43" s="11" t="n">
        <v>200</v>
      </c>
    </row>
    <row r="44" customFormat="false" ht="12.8" hidden="false" customHeight="false" outlineLevel="0" collapsed="false">
      <c r="A44" s="10" t="s">
        <v>43</v>
      </c>
      <c r="B44" s="11" t="n">
        <v>190</v>
      </c>
    </row>
    <row r="45" customFormat="false" ht="12.8" hidden="false" customHeight="false" outlineLevel="0" collapsed="false">
      <c r="A45" s="10" t="s">
        <v>55</v>
      </c>
      <c r="B45" s="11" t="n">
        <v>185</v>
      </c>
    </row>
    <row r="46" customFormat="false" ht="12.8" hidden="false" customHeight="false" outlineLevel="0" collapsed="false">
      <c r="A46" s="10" t="s">
        <v>28</v>
      </c>
      <c r="B46" s="11" t="n">
        <v>180</v>
      </c>
    </row>
    <row r="47" customFormat="false" ht="12.8" hidden="false" customHeight="false" outlineLevel="0" collapsed="false">
      <c r="A47" s="10" t="s">
        <v>49</v>
      </c>
      <c r="B47" s="11" t="n">
        <v>175</v>
      </c>
    </row>
    <row r="48" customFormat="false" ht="12.8" hidden="false" customHeight="false" outlineLevel="0" collapsed="false">
      <c r="A48" s="10" t="s">
        <v>40</v>
      </c>
      <c r="B48" s="11" t="n">
        <v>170</v>
      </c>
    </row>
    <row r="49" customFormat="false" ht="12.8" hidden="false" customHeight="false" outlineLevel="0" collapsed="false">
      <c r="A49" s="10" t="s">
        <v>61</v>
      </c>
      <c r="B49" s="11" t="n">
        <v>165</v>
      </c>
    </row>
    <row r="50" customFormat="false" ht="12.8" hidden="false" customHeight="false" outlineLevel="0" collapsed="false">
      <c r="A50" s="10" t="s">
        <v>34</v>
      </c>
      <c r="B50" s="11" t="n">
        <v>160</v>
      </c>
    </row>
    <row r="51" customFormat="false" ht="12.8" hidden="false" customHeight="false" outlineLevel="0" collapsed="false">
      <c r="A51" s="10" t="s">
        <v>16</v>
      </c>
      <c r="B51" s="11" t="n">
        <v>150</v>
      </c>
    </row>
    <row r="52" customFormat="false" ht="12.8" hidden="false" customHeight="false" outlineLevel="0" collapsed="false">
      <c r="A52" s="10" t="s">
        <v>21</v>
      </c>
      <c r="B52" s="11" t="n">
        <v>120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6" t="s">
        <v>9</v>
      </c>
      <c r="B1" s="7" t="s">
        <v>67</v>
      </c>
    </row>
    <row r="2" customFormat="false" ht="12.8" hidden="false" customHeight="false" outlineLevel="0" collapsed="false">
      <c r="A2" s="13" t="n">
        <v>1</v>
      </c>
      <c r="B2" s="14" t="n">
        <v>14230</v>
      </c>
    </row>
    <row r="3" customFormat="false" ht="12.8" hidden="false" customHeight="false" outlineLevel="0" collapsed="false">
      <c r="A3" s="10" t="n">
        <v>2</v>
      </c>
      <c r="B3" s="12" t="n">
        <v>8995</v>
      </c>
    </row>
    <row r="4" customFormat="false" ht="12.8" hidden="false" customHeight="false" outlineLevel="0" collapsed="false">
      <c r="A4" s="8" t="s">
        <v>68</v>
      </c>
      <c r="B4" s="9" t="n">
        <v>23225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18"/>
  </cols>
  <sheetData>
    <row r="1" customFormat="false" ht="12.8" hidden="false" customHeight="false" outlineLevel="0" collapsed="false">
      <c r="A1" s="6" t="s">
        <v>4</v>
      </c>
      <c r="B1" s="7" t="s">
        <v>69</v>
      </c>
    </row>
    <row r="2" customFormat="false" ht="12.8" hidden="false" customHeight="false" outlineLevel="0" collapsed="false">
      <c r="A2" s="13" t="s">
        <v>15</v>
      </c>
      <c r="B2" s="14" t="n">
        <v>1455</v>
      </c>
    </row>
    <row r="3" customFormat="false" ht="12.8" hidden="false" customHeight="false" outlineLevel="0" collapsed="false">
      <c r="A3" s="10" t="s">
        <v>18</v>
      </c>
      <c r="B3" s="11" t="n">
        <v>715</v>
      </c>
    </row>
    <row r="4" customFormat="false" ht="12.8" hidden="false" customHeight="false" outlineLevel="0" collapsed="false">
      <c r="A4" s="10" t="s">
        <v>12</v>
      </c>
      <c r="B4" s="12" t="n">
        <v>3850</v>
      </c>
    </row>
    <row r="5" customFormat="false" ht="12.8" hidden="false" customHeight="false" outlineLevel="0" collapsed="false">
      <c r="A5" s="8" t="s">
        <v>68</v>
      </c>
      <c r="B5" s="9" t="n">
        <v>6020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6" t="s">
        <v>3</v>
      </c>
      <c r="B1" s="7" t="s">
        <v>67</v>
      </c>
    </row>
    <row r="2" customFormat="false" ht="12.8" hidden="false" customHeight="false" outlineLevel="0" collapsed="false">
      <c r="A2" s="13" t="s">
        <v>11</v>
      </c>
      <c r="B2" s="14" t="n">
        <v>5745</v>
      </c>
    </row>
    <row r="3" customFormat="false" ht="12.8" hidden="false" customHeight="false" outlineLevel="0" collapsed="false">
      <c r="A3" s="10" t="s">
        <v>22</v>
      </c>
      <c r="B3" s="11" t="n">
        <v>5120</v>
      </c>
    </row>
    <row r="4" customFormat="false" ht="12.8" hidden="false" customHeight="false" outlineLevel="0" collapsed="false">
      <c r="A4" s="10" t="s">
        <v>17</v>
      </c>
      <c r="B4" s="11" t="n">
        <v>5910</v>
      </c>
    </row>
    <row r="5" customFormat="false" ht="12.8" hidden="false" customHeight="false" outlineLevel="0" collapsed="false">
      <c r="A5" s="10" t="s">
        <v>14</v>
      </c>
      <c r="B5" s="12" t="n">
        <v>6450</v>
      </c>
    </row>
    <row r="6" customFormat="false" ht="12.8" hidden="false" customHeight="false" outlineLevel="0" collapsed="false">
      <c r="A6" s="8" t="s">
        <v>68</v>
      </c>
      <c r="B6" s="9" t="n">
        <v>23225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2026-04-25T14:34:33Z</dcterms:created>
  <dc:creator/>
  <dc:description/>
  <dc:language>en-US</dc:language>
  <cp:lastModifiedBy/>
  <dcterms:modified xsi:type="dcterms:W3CDTF">2026-04-25T16:29:46Z</dcterms:modified>
  <cp:revision>2</cp:revision>
  <dc:subject/>
  <dc:title/>
</cp:coreProperties>
</file>